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zzak/PycharmProjects/HFT/Pakistan/Docs/"/>
    </mc:Choice>
  </mc:AlternateContent>
  <xr:revisionPtr revIDLastSave="0" documentId="13_ncr:1_{F6804E5D-486E-5945-9F5C-782AB876F505}" xr6:coauthVersionLast="47" xr6:coauthVersionMax="47" xr10:uidLastSave="{00000000-0000-0000-0000-000000000000}"/>
  <bookViews>
    <workbookView xWindow="1100" yWindow="900" windowWidth="28040" windowHeight="17180" xr2:uid="{AA62F386-21DC-3F4A-997B-2D2AC6882C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" i="1" l="1"/>
  <c r="K13" i="1"/>
  <c r="K11" i="1"/>
  <c r="J12" i="1"/>
  <c r="J13" i="1"/>
  <c r="J11" i="1"/>
  <c r="S13" i="1"/>
  <c r="Q12" i="1"/>
  <c r="S12" i="1" s="1"/>
  <c r="Q13" i="1"/>
  <c r="Q11" i="1"/>
  <c r="P12" i="1"/>
  <c r="P13" i="1"/>
  <c r="P11" i="1"/>
  <c r="O12" i="1"/>
  <c r="O13" i="1"/>
  <c r="O11" i="1"/>
  <c r="S11" i="1" s="1"/>
  <c r="M12" i="1"/>
  <c r="M13" i="1"/>
  <c r="M11" i="1"/>
</calcChain>
</file>

<file path=xl/sharedStrings.xml><?xml version="1.0" encoding="utf-8"?>
<sst xmlns="http://schemas.openxmlformats.org/spreadsheetml/2006/main" count="16" uniqueCount="15">
  <si>
    <t>amends</t>
  </si>
  <si>
    <t>landed</t>
  </si>
  <si>
    <t>cancels</t>
  </si>
  <si>
    <t>fills</t>
  </si>
  <si>
    <t>New ordes</t>
  </si>
  <si>
    <t>kept place</t>
  </si>
  <si>
    <t>don't top up</t>
  </si>
  <si>
    <t>second order</t>
  </si>
  <si>
    <t>amend up</t>
  </si>
  <si>
    <t>order to cancel</t>
  </si>
  <si>
    <t>fill to orders</t>
  </si>
  <si>
    <t>Total Order</t>
  </si>
  <si>
    <t>Cancel</t>
  </si>
  <si>
    <t>Diff / Pending</t>
  </si>
  <si>
    <t>Landed /Amends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</si>
</sst>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3" fontId="0" fillId="0" borderId="0" xfId="0" applyNumberFormat="1"/>
    <xf numFmtId="43" fontId="0" fillId="0" borderId="0" xfId="1" applyFont="1"/>
    <xf numFmtId="9" fontId="0" fillId="0" borderId="0" xfId="2" applyFont="1"/>
    <xf numFmtId="168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2026-535D-A84E-B157-23E61616F6B0}">
  <dimension ref="A10:S14"/>
  <sheetViews>
    <sheetView tabSelected="1" workbookViewId="0">
      <selection activeCell="K11" sqref="K11"/>
    </sheetView>
  </sheetViews>
  <sheetFormatPr baseColWidth="10" defaultRowHeight="16" x14ac:dyDescent="0.2"/>
  <cols>
    <col min="10" max="10" width="17.5" customWidth="1"/>
  </cols>
  <sheetData>
    <row r="10" spans="1:19" x14ac:dyDescent="0.2">
      <c r="A10" s="1"/>
      <c r="C10" t="s">
        <v>4</v>
      </c>
      <c r="D10" t="s">
        <v>0</v>
      </c>
      <c r="E10" t="s">
        <v>1</v>
      </c>
      <c r="F10" t="s">
        <v>5</v>
      </c>
      <c r="G10" t="s">
        <v>2</v>
      </c>
      <c r="H10" t="s">
        <v>3</v>
      </c>
      <c r="J10" t="s">
        <v>14</v>
      </c>
      <c r="K10" t="s">
        <v>9</v>
      </c>
      <c r="M10" t="s">
        <v>10</v>
      </c>
      <c r="O10" t="s">
        <v>11</v>
      </c>
      <c r="P10" t="s">
        <v>12</v>
      </c>
      <c r="Q10" t="s">
        <v>3</v>
      </c>
      <c r="S10" t="s">
        <v>13</v>
      </c>
    </row>
    <row r="11" spans="1:19" x14ac:dyDescent="0.2">
      <c r="B11" t="s">
        <v>8</v>
      </c>
      <c r="C11" s="2">
        <v>119034</v>
      </c>
      <c r="D11" s="2">
        <v>81076</v>
      </c>
      <c r="E11" s="2">
        <v>75582</v>
      </c>
      <c r="F11" s="2">
        <v>5575</v>
      </c>
      <c r="G11" s="2">
        <v>107004</v>
      </c>
      <c r="H11" s="2">
        <v>15194</v>
      </c>
      <c r="I11" s="2"/>
      <c r="J11" s="4">
        <f>E11/D11</f>
        <v>0.93223642014899599</v>
      </c>
      <c r="K11" s="3">
        <f>(C11+D11+G11)/G11</f>
        <v>2.8701170049717768</v>
      </c>
      <c r="M11" s="5">
        <f>H11/(C11+E11)</f>
        <v>7.8071689891889673E-2</v>
      </c>
      <c r="O11" s="2">
        <f>C11+E11</f>
        <v>194616</v>
      </c>
      <c r="P11" s="2">
        <f>G11</f>
        <v>107004</v>
      </c>
      <c r="Q11" s="2">
        <f>H11</f>
        <v>15194</v>
      </c>
      <c r="S11" s="2">
        <f>O11-P11-Q11</f>
        <v>72418</v>
      </c>
    </row>
    <row r="12" spans="1:19" x14ac:dyDescent="0.2">
      <c r="B12" t="s">
        <v>7</v>
      </c>
      <c r="C12" s="2">
        <v>125704</v>
      </c>
      <c r="D12" s="2">
        <v>72373</v>
      </c>
      <c r="E12" s="2">
        <v>66935</v>
      </c>
      <c r="F12" s="2">
        <v>3736</v>
      </c>
      <c r="G12" s="2">
        <v>113298</v>
      </c>
      <c r="H12" s="2">
        <v>15534</v>
      </c>
      <c r="I12" s="2"/>
      <c r="J12" s="4">
        <f t="shared" ref="J12:J13" si="0">E12/D12</f>
        <v>0.92486148149171654</v>
      </c>
      <c r="K12" s="3">
        <f t="shared" ref="K12:K13" si="1">(C12+D12+G12)/G12</f>
        <v>2.7482832883192994</v>
      </c>
      <c r="M12" s="5">
        <f t="shared" ref="M12:M13" si="2">H12/(C12+E12)</f>
        <v>8.0637877065391744E-2</v>
      </c>
      <c r="O12" s="2">
        <f t="shared" ref="O12:O13" si="3">C12+E12</f>
        <v>192639</v>
      </c>
      <c r="P12" s="2">
        <f t="shared" ref="P12:P13" si="4">G12</f>
        <v>113298</v>
      </c>
      <c r="Q12" s="2">
        <f t="shared" ref="Q12:Q13" si="5">H12</f>
        <v>15534</v>
      </c>
      <c r="S12" s="2">
        <f t="shared" ref="S12:S13" si="6">O12-P12-Q12</f>
        <v>63807</v>
      </c>
    </row>
    <row r="13" spans="1:19" x14ac:dyDescent="0.2">
      <c r="B13" t="s">
        <v>6</v>
      </c>
      <c r="C13" s="2">
        <v>118974</v>
      </c>
      <c r="D13" s="2">
        <v>72592</v>
      </c>
      <c r="E13" s="2">
        <v>67113</v>
      </c>
      <c r="F13" s="2">
        <v>3728</v>
      </c>
      <c r="G13" s="2">
        <v>106934</v>
      </c>
      <c r="H13" s="2">
        <v>15163</v>
      </c>
      <c r="I13" s="2"/>
      <c r="J13" s="4">
        <f t="shared" si="0"/>
        <v>0.92452336345602826</v>
      </c>
      <c r="K13" s="3">
        <f t="shared" si="1"/>
        <v>2.7914414498662725</v>
      </c>
      <c r="M13" s="5">
        <f t="shared" si="2"/>
        <v>8.1483392176777525E-2</v>
      </c>
      <c r="O13" s="2">
        <f t="shared" si="3"/>
        <v>186087</v>
      </c>
      <c r="P13" s="2">
        <f t="shared" si="4"/>
        <v>106934</v>
      </c>
      <c r="Q13" s="2">
        <f t="shared" si="5"/>
        <v>15163</v>
      </c>
      <c r="S13" s="2">
        <f t="shared" si="6"/>
        <v>63990</v>
      </c>
    </row>
    <row r="14" spans="1:19" x14ac:dyDescent="0.2">
      <c r="K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Shahzeb Z</dc:creator>
  <cp:lastModifiedBy>Shahzeb Z</cp:lastModifiedBy>
  <dcterms:created xsi:type="dcterms:W3CDTF">2026-09-18T04:10:59Z</dcterms:created>
  <dcterms:modified xsi:type="dcterms:W3CDTF">2026-09-18T07:30:21Z</dcterms:modified>
</cp:coreProperties>
</file>