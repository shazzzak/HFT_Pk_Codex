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zzak/PycharmProjects/HFT/Docs/"/>
    </mc:Choice>
  </mc:AlternateContent>
  <xr:revisionPtr revIDLastSave="0" documentId="13_ncr:1_{71B8D526-97B3-4547-B7D3-01D6BE3DA66C}" xr6:coauthVersionLast="47" xr6:coauthVersionMax="47" xr10:uidLastSave="{00000000-0000-0000-0000-000000000000}"/>
  <bookViews>
    <workbookView xWindow="340" yWindow="980" windowWidth="28800" windowHeight="17100" xr2:uid="{FE528B29-E00D-7F4C-B1FE-C7DFFC453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23" i="1"/>
  <c r="D49" i="1"/>
  <c r="D50" i="1" s="1"/>
  <c r="D51" i="1" s="1"/>
  <c r="D52" i="1" s="1"/>
  <c r="D53" i="1" s="1"/>
  <c r="D54" i="1" s="1"/>
  <c r="D55" i="1" s="1"/>
  <c r="D56" i="1" s="1"/>
  <c r="D57" i="1" s="1"/>
  <c r="D58" i="1" s="1"/>
  <c r="D25" i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24" i="1"/>
  <c r="I8" i="1"/>
  <c r="H9" i="1"/>
  <c r="G9" i="1" s="1"/>
  <c r="E9" i="1" s="1"/>
  <c r="H8" i="1" l="1"/>
  <c r="G8" i="1" s="1"/>
  <c r="H7" i="1" l="1"/>
  <c r="G7" i="1" s="1"/>
  <c r="E7" i="1" s="1"/>
  <c r="E8" i="1"/>
  <c r="D12" i="1" l="1"/>
  <c r="D14" i="1" s="1"/>
  <c r="D16" i="1" s="1"/>
  <c r="D18" i="1" l="1"/>
  <c r="E22" i="1"/>
</calcChain>
</file>

<file path=xl/sharedStrings.xml><?xml version="1.0" encoding="utf-8"?>
<sst xmlns="http://schemas.openxmlformats.org/spreadsheetml/2006/main" count="16" uniqueCount="13">
  <si>
    <t>Time Left</t>
  </si>
  <si>
    <t>First15</t>
  </si>
  <si>
    <t>Middle</t>
  </si>
  <si>
    <t>Shares / Min</t>
  </si>
  <si>
    <t>Mins</t>
  </si>
  <si>
    <t>Mins Used</t>
  </si>
  <si>
    <t>Mins Left</t>
  </si>
  <si>
    <t>Total Mins</t>
  </si>
  <si>
    <t>Shares Left</t>
  </si>
  <si>
    <t>Time Needed to Sell</t>
  </si>
  <si>
    <t>Last15</t>
  </si>
  <si>
    <t>My Trades / Min</t>
  </si>
  <si>
    <t>My Trades - % of Total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</si>
</sst>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?_);_(@_)"/>
    <numFmt numFmtId="166" formatCode=";;;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rgb="FF0432FF"/>
      <name val="Arial"/>
      <family val="2"/>
    </font>
    <font>
      <sz val="12"/>
      <color rgb="FF0432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9" fontId="3" fillId="0" borderId="0" xfId="2" applyFont="1"/>
    <xf numFmtId="43" fontId="0" fillId="0" borderId="0" xfId="1" applyFont="1"/>
    <xf numFmtId="164" fontId="0" fillId="0" borderId="0" xfId="1" applyNumberFormat="1" applyFont="1"/>
    <xf numFmtId="0" fontId="0" fillId="2" borderId="0" xfId="0" applyFill="1"/>
    <xf numFmtId="165" fontId="0" fillId="0" borderId="0" xfId="0" applyNumberFormat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Sheet1!$D$23:$D$58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</c:numCache>
            </c:numRef>
          </c:cat>
          <c:val>
            <c:numRef>
              <c:f>Sheet1!$E$23:$E$58</c:f>
              <c:numCache>
                <c:formatCode>_(* #,##0.0_);_(* \(#,##0.0\);_(* "-"??_);_(@_)</c:formatCode>
                <c:ptCount val="36"/>
                <c:pt idx="0">
                  <c:v>66.666666666666671</c:v>
                </c:pt>
                <c:pt idx="1">
                  <c:v>80</c:v>
                </c:pt>
                <c:pt idx="2">
                  <c:v>100</c:v>
                </c:pt>
                <c:pt idx="3">
                  <c:v>114.28571428571429</c:v>
                </c:pt>
                <c:pt idx="4">
                  <c:v>125</c:v>
                </c:pt>
                <c:pt idx="5">
                  <c:v>133.33333333333334</c:v>
                </c:pt>
                <c:pt idx="6">
                  <c:v>140</c:v>
                </c:pt>
                <c:pt idx="7">
                  <c:v>145.45454545454547</c:v>
                </c:pt>
                <c:pt idx="8">
                  <c:v>149.99999999999997</c:v>
                </c:pt>
                <c:pt idx="9">
                  <c:v>153.84615384615384</c:v>
                </c:pt>
                <c:pt idx="10">
                  <c:v>157.14285714285714</c:v>
                </c:pt>
                <c:pt idx="11">
                  <c:v>160</c:v>
                </c:pt>
                <c:pt idx="12">
                  <c:v>162.5</c:v>
                </c:pt>
                <c:pt idx="13">
                  <c:v>164.70588235294116</c:v>
                </c:pt>
                <c:pt idx="14">
                  <c:v>166.66666666666666</c:v>
                </c:pt>
                <c:pt idx="15">
                  <c:v>168.42105263157896</c:v>
                </c:pt>
                <c:pt idx="16">
                  <c:v>170</c:v>
                </c:pt>
                <c:pt idx="17">
                  <c:v>171.42857142857142</c:v>
                </c:pt>
                <c:pt idx="18">
                  <c:v>172.72727272727272</c:v>
                </c:pt>
                <c:pt idx="19">
                  <c:v>173.91304347826087</c:v>
                </c:pt>
                <c:pt idx="20">
                  <c:v>174.99999999999997</c:v>
                </c:pt>
                <c:pt idx="21">
                  <c:v>175.99999999999997</c:v>
                </c:pt>
                <c:pt idx="22">
                  <c:v>176.92307692307691</c:v>
                </c:pt>
                <c:pt idx="23">
                  <c:v>177.77777777777777</c:v>
                </c:pt>
                <c:pt idx="24">
                  <c:v>178.57142857142856</c:v>
                </c:pt>
                <c:pt idx="25">
                  <c:v>179.31034482758622</c:v>
                </c:pt>
                <c:pt idx="26">
                  <c:v>179.99999999999997</c:v>
                </c:pt>
                <c:pt idx="27">
                  <c:v>180.64516129032259</c:v>
                </c:pt>
                <c:pt idx="28">
                  <c:v>181.25</c:v>
                </c:pt>
                <c:pt idx="29">
                  <c:v>181.81818181818181</c:v>
                </c:pt>
                <c:pt idx="30">
                  <c:v>182.35294117647058</c:v>
                </c:pt>
                <c:pt idx="31">
                  <c:v>182.85714285714286</c:v>
                </c:pt>
                <c:pt idx="32">
                  <c:v>183.33333333333331</c:v>
                </c:pt>
                <c:pt idx="33">
                  <c:v>183.78378378378378</c:v>
                </c:pt>
                <c:pt idx="34">
                  <c:v>181.81818181818181</c:v>
                </c:pt>
                <c:pt idx="35">
                  <c:v>177.77777777777777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B-BE43-8C6B-3FD78098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717503"/>
        <c:axId val="379486207"/>
      </c:lineChart>
      <c:catAx>
        <c:axId val="37871750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86207"/>
        <c:crosses val="autoZero"/>
        <c:auto val="1"/>
        <c:lblAlgn val="ctr"/>
        <c:lblOffset val="100"/>
        <c:noMultiLvlLbl val="0"/>
      </c:catAx>
      <c:valAx>
        <c:axId val="3794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1750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74978127734018"/>
          <c:y val="5.6133712452610049E-2"/>
          <c:w val="0.169166885389326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22</xdr:row>
      <xdr:rowOff>12700</xdr:rowOff>
    </xdr:from>
    <xdr:to>
      <xdr:col>12</xdr:col>
      <xdr:colOff>793750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E3209-F04E-0F52-21CB-14B549856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E582-391B-D740-84FD-CE2A5076ED8C}">
  <dimension ref="C2:J58"/>
  <sheetViews>
    <sheetView tabSelected="1" workbookViewId="0">
      <selection activeCell="I14" sqref="I14"/>
    </sheetView>
  </sheetViews>
  <sheetFormatPr baseColWidth="10" defaultRowHeight="16" x14ac:dyDescent="0.2"/>
  <cols>
    <col min="3" max="3" width="24.83203125" bestFit="1" customWidth="1"/>
  </cols>
  <sheetData>
    <row r="2" spans="3:10" x14ac:dyDescent="0.2">
      <c r="C2" t="s">
        <v>8</v>
      </c>
      <c r="D2" s="3">
        <v>1000</v>
      </c>
    </row>
    <row r="3" spans="3:10" ht="23" x14ac:dyDescent="0.25">
      <c r="C3" t="s">
        <v>0</v>
      </c>
      <c r="D3" s="3">
        <v>10</v>
      </c>
      <c r="E3" s="2"/>
      <c r="F3" s="2"/>
      <c r="G3" s="2"/>
      <c r="H3" s="2"/>
      <c r="I3" s="2"/>
      <c r="J3" s="2"/>
    </row>
    <row r="6" spans="3:10" x14ac:dyDescent="0.2">
      <c r="D6" t="s">
        <v>3</v>
      </c>
      <c r="E6" t="s">
        <v>4</v>
      </c>
      <c r="G6" t="s">
        <v>5</v>
      </c>
      <c r="H6" t="s">
        <v>6</v>
      </c>
      <c r="I6" t="s">
        <v>7</v>
      </c>
    </row>
    <row r="7" spans="3:10" x14ac:dyDescent="0.2">
      <c r="C7" t="s">
        <v>1</v>
      </c>
      <c r="D7" s="3">
        <v>100</v>
      </c>
      <c r="E7" s="1">
        <f t="shared" ref="E7:E8" si="0">-G7</f>
        <v>0</v>
      </c>
      <c r="G7" s="1">
        <f>-MIN(I7,H7)</f>
        <v>0</v>
      </c>
      <c r="H7" s="1">
        <f>H8+G8</f>
        <v>0</v>
      </c>
      <c r="I7">
        <v>15</v>
      </c>
    </row>
    <row r="8" spans="3:10" x14ac:dyDescent="0.2">
      <c r="C8" t="s">
        <v>2</v>
      </c>
      <c r="D8" s="3">
        <v>50</v>
      </c>
      <c r="E8" s="1">
        <f t="shared" si="0"/>
        <v>0</v>
      </c>
      <c r="G8" s="1">
        <f>-MIN(I8,H8)</f>
        <v>0</v>
      </c>
      <c r="H8" s="1">
        <f>H9+G9</f>
        <v>0</v>
      </c>
      <c r="I8" s="7">
        <f>360-15-15</f>
        <v>330</v>
      </c>
    </row>
    <row r="9" spans="3:10" x14ac:dyDescent="0.2">
      <c r="C9" t="s">
        <v>10</v>
      </c>
      <c r="D9" s="3">
        <v>150</v>
      </c>
      <c r="E9" s="1">
        <f>-G9</f>
        <v>10</v>
      </c>
      <c r="G9" s="1">
        <f>-MIN(I9,H9)</f>
        <v>-10</v>
      </c>
      <c r="H9" s="1">
        <f>D3</f>
        <v>10</v>
      </c>
      <c r="I9">
        <v>15</v>
      </c>
    </row>
    <row r="12" spans="3:10" x14ac:dyDescent="0.2">
      <c r="C12" t="s">
        <v>3</v>
      </c>
      <c r="D12" s="5">
        <f>SUMPRODUCT(D7:D9,E7:E9)/SUM(E7:E9)</f>
        <v>150</v>
      </c>
    </row>
    <row r="13" spans="3:10" x14ac:dyDescent="0.2">
      <c r="C13" t="s">
        <v>12</v>
      </c>
      <c r="D13" s="4">
        <v>0.1</v>
      </c>
    </row>
    <row r="14" spans="3:10" x14ac:dyDescent="0.2">
      <c r="C14" t="s">
        <v>11</v>
      </c>
      <c r="D14" s="6">
        <f>D12*D13</f>
        <v>15</v>
      </c>
    </row>
    <row r="16" spans="3:10" x14ac:dyDescent="0.2">
      <c r="C16" t="s">
        <v>9</v>
      </c>
      <c r="D16" s="8">
        <f>D2/D14</f>
        <v>66.666666666666671</v>
      </c>
    </row>
    <row r="18" spans="4:7" x14ac:dyDescent="0.2">
      <c r="D18" t="str">
        <f>IF(D16&lt;=D3,"Normal", "Ramp")</f>
        <v>Ramp</v>
      </c>
    </row>
    <row r="21" spans="4:7" x14ac:dyDescent="0.2">
      <c r="D21" t="s">
        <v>0</v>
      </c>
      <c r="E21" s="8" t="s">
        <v>9</v>
      </c>
    </row>
    <row r="22" spans="4:7" x14ac:dyDescent="0.2">
      <c r="E22" s="9">
        <f>D16</f>
        <v>66.666666666666671</v>
      </c>
    </row>
    <row r="23" spans="4:7" x14ac:dyDescent="0.2">
      <c r="D23">
        <v>10</v>
      </c>
      <c r="E23" s="6">
        <f t="dataTable" ref="E23:E58" dt2D="0" dtr="0" r1="D3"/>
        <v>66.666666666666671</v>
      </c>
      <c r="G23" t="str">
        <f>IF(E23&lt;=D23,"Normal", "Ramp")</f>
        <v>Ramp</v>
      </c>
    </row>
    <row r="24" spans="4:7" x14ac:dyDescent="0.2">
      <c r="D24">
        <f>D23+10</f>
        <v>20</v>
      </c>
      <c r="E24" s="6">
        <v>80</v>
      </c>
      <c r="G24" t="str">
        <f t="shared" ref="G24:G58" si="1">IF(E24&lt;=D24,"Normal", "Ramp")</f>
        <v>Ramp</v>
      </c>
    </row>
    <row r="25" spans="4:7" x14ac:dyDescent="0.2">
      <c r="D25">
        <f t="shared" ref="D25:D58" si="2">D24+10</f>
        <v>30</v>
      </c>
      <c r="E25" s="6">
        <v>100</v>
      </c>
      <c r="G25" t="str">
        <f t="shared" si="1"/>
        <v>Ramp</v>
      </c>
    </row>
    <row r="26" spans="4:7" x14ac:dyDescent="0.2">
      <c r="D26">
        <f t="shared" si="2"/>
        <v>40</v>
      </c>
      <c r="E26" s="6">
        <v>114.28571428571429</v>
      </c>
      <c r="G26" t="str">
        <f t="shared" si="1"/>
        <v>Ramp</v>
      </c>
    </row>
    <row r="27" spans="4:7" x14ac:dyDescent="0.2">
      <c r="D27">
        <f t="shared" si="2"/>
        <v>50</v>
      </c>
      <c r="E27" s="6">
        <v>125</v>
      </c>
      <c r="G27" t="str">
        <f t="shared" si="1"/>
        <v>Ramp</v>
      </c>
    </row>
    <row r="28" spans="4:7" x14ac:dyDescent="0.2">
      <c r="D28">
        <f t="shared" si="2"/>
        <v>60</v>
      </c>
      <c r="E28" s="6">
        <v>133.33333333333334</v>
      </c>
      <c r="G28" t="str">
        <f t="shared" si="1"/>
        <v>Ramp</v>
      </c>
    </row>
    <row r="29" spans="4:7" x14ac:dyDescent="0.2">
      <c r="D29">
        <f t="shared" si="2"/>
        <v>70</v>
      </c>
      <c r="E29" s="6">
        <v>140</v>
      </c>
      <c r="G29" t="str">
        <f t="shared" si="1"/>
        <v>Ramp</v>
      </c>
    </row>
    <row r="30" spans="4:7" x14ac:dyDescent="0.2">
      <c r="D30">
        <f t="shared" si="2"/>
        <v>80</v>
      </c>
      <c r="E30" s="6">
        <v>145.45454545454547</v>
      </c>
      <c r="G30" t="str">
        <f t="shared" si="1"/>
        <v>Ramp</v>
      </c>
    </row>
    <row r="31" spans="4:7" x14ac:dyDescent="0.2">
      <c r="D31">
        <f t="shared" si="2"/>
        <v>90</v>
      </c>
      <c r="E31" s="6">
        <v>149.99999999999997</v>
      </c>
      <c r="G31" t="str">
        <f t="shared" si="1"/>
        <v>Ramp</v>
      </c>
    </row>
    <row r="32" spans="4:7" x14ac:dyDescent="0.2">
      <c r="D32">
        <f t="shared" si="2"/>
        <v>100</v>
      </c>
      <c r="E32" s="6">
        <v>153.84615384615384</v>
      </c>
      <c r="G32" t="str">
        <f t="shared" si="1"/>
        <v>Ramp</v>
      </c>
    </row>
    <row r="33" spans="4:7" x14ac:dyDescent="0.2">
      <c r="D33">
        <f t="shared" si="2"/>
        <v>110</v>
      </c>
      <c r="E33" s="6">
        <v>157.14285714285714</v>
      </c>
      <c r="G33" t="str">
        <f t="shared" si="1"/>
        <v>Ramp</v>
      </c>
    </row>
    <row r="34" spans="4:7" x14ac:dyDescent="0.2">
      <c r="D34">
        <f t="shared" si="2"/>
        <v>120</v>
      </c>
      <c r="E34" s="6">
        <v>160</v>
      </c>
      <c r="G34" t="str">
        <f t="shared" si="1"/>
        <v>Ramp</v>
      </c>
    </row>
    <row r="35" spans="4:7" x14ac:dyDescent="0.2">
      <c r="D35">
        <f t="shared" si="2"/>
        <v>130</v>
      </c>
      <c r="E35" s="6">
        <v>162.5</v>
      </c>
      <c r="G35" t="str">
        <f t="shared" si="1"/>
        <v>Ramp</v>
      </c>
    </row>
    <row r="36" spans="4:7" x14ac:dyDescent="0.2">
      <c r="D36">
        <f t="shared" si="2"/>
        <v>140</v>
      </c>
      <c r="E36" s="6">
        <v>164.70588235294116</v>
      </c>
      <c r="G36" t="str">
        <f t="shared" si="1"/>
        <v>Ramp</v>
      </c>
    </row>
    <row r="37" spans="4:7" x14ac:dyDescent="0.2">
      <c r="D37">
        <f t="shared" si="2"/>
        <v>150</v>
      </c>
      <c r="E37" s="6">
        <v>166.66666666666666</v>
      </c>
      <c r="G37" t="str">
        <f t="shared" si="1"/>
        <v>Ramp</v>
      </c>
    </row>
    <row r="38" spans="4:7" x14ac:dyDescent="0.2">
      <c r="D38">
        <f t="shared" si="2"/>
        <v>160</v>
      </c>
      <c r="E38" s="6">
        <v>168.42105263157896</v>
      </c>
      <c r="G38" t="str">
        <f t="shared" si="1"/>
        <v>Ramp</v>
      </c>
    </row>
    <row r="39" spans="4:7" x14ac:dyDescent="0.2">
      <c r="D39">
        <f t="shared" si="2"/>
        <v>170</v>
      </c>
      <c r="E39" s="6">
        <v>170</v>
      </c>
      <c r="G39" t="str">
        <f t="shared" si="1"/>
        <v>Normal</v>
      </c>
    </row>
    <row r="40" spans="4:7" x14ac:dyDescent="0.2">
      <c r="D40">
        <f t="shared" si="2"/>
        <v>180</v>
      </c>
      <c r="E40" s="6">
        <v>171.42857142857142</v>
      </c>
      <c r="G40" t="str">
        <f t="shared" si="1"/>
        <v>Normal</v>
      </c>
    </row>
    <row r="41" spans="4:7" x14ac:dyDescent="0.2">
      <c r="D41">
        <f t="shared" si="2"/>
        <v>190</v>
      </c>
      <c r="E41" s="6">
        <v>172.72727272727272</v>
      </c>
      <c r="G41" t="str">
        <f t="shared" si="1"/>
        <v>Normal</v>
      </c>
    </row>
    <row r="42" spans="4:7" x14ac:dyDescent="0.2">
      <c r="D42">
        <f t="shared" si="2"/>
        <v>200</v>
      </c>
      <c r="E42" s="6">
        <v>173.91304347826087</v>
      </c>
      <c r="G42" t="str">
        <f t="shared" si="1"/>
        <v>Normal</v>
      </c>
    </row>
    <row r="43" spans="4:7" x14ac:dyDescent="0.2">
      <c r="D43">
        <f t="shared" si="2"/>
        <v>210</v>
      </c>
      <c r="E43" s="6">
        <v>174.99999999999997</v>
      </c>
      <c r="G43" t="str">
        <f t="shared" si="1"/>
        <v>Normal</v>
      </c>
    </row>
    <row r="44" spans="4:7" x14ac:dyDescent="0.2">
      <c r="D44">
        <f t="shared" si="2"/>
        <v>220</v>
      </c>
      <c r="E44" s="6">
        <v>175.99999999999997</v>
      </c>
      <c r="G44" t="str">
        <f t="shared" si="1"/>
        <v>Normal</v>
      </c>
    </row>
    <row r="45" spans="4:7" x14ac:dyDescent="0.2">
      <c r="D45">
        <f t="shared" si="2"/>
        <v>230</v>
      </c>
      <c r="E45" s="6">
        <v>176.92307692307691</v>
      </c>
      <c r="G45" t="str">
        <f t="shared" si="1"/>
        <v>Normal</v>
      </c>
    </row>
    <row r="46" spans="4:7" x14ac:dyDescent="0.2">
      <c r="D46">
        <f t="shared" si="2"/>
        <v>240</v>
      </c>
      <c r="E46" s="6">
        <v>177.77777777777777</v>
      </c>
      <c r="G46" t="str">
        <f t="shared" si="1"/>
        <v>Normal</v>
      </c>
    </row>
    <row r="47" spans="4:7" x14ac:dyDescent="0.2">
      <c r="D47">
        <f t="shared" si="2"/>
        <v>250</v>
      </c>
      <c r="E47" s="6">
        <v>178.57142857142856</v>
      </c>
      <c r="G47" t="str">
        <f t="shared" si="1"/>
        <v>Normal</v>
      </c>
    </row>
    <row r="48" spans="4:7" x14ac:dyDescent="0.2">
      <c r="D48">
        <f t="shared" si="2"/>
        <v>260</v>
      </c>
      <c r="E48" s="6">
        <v>179.31034482758622</v>
      </c>
      <c r="G48" t="str">
        <f t="shared" si="1"/>
        <v>Normal</v>
      </c>
    </row>
    <row r="49" spans="4:7" x14ac:dyDescent="0.2">
      <c r="D49">
        <f t="shared" si="2"/>
        <v>270</v>
      </c>
      <c r="E49" s="6">
        <v>179.99999999999997</v>
      </c>
      <c r="G49" t="str">
        <f t="shared" si="1"/>
        <v>Normal</v>
      </c>
    </row>
    <row r="50" spans="4:7" x14ac:dyDescent="0.2">
      <c r="D50">
        <f t="shared" si="2"/>
        <v>280</v>
      </c>
      <c r="E50" s="6">
        <v>180.64516129032259</v>
      </c>
      <c r="G50" t="str">
        <f t="shared" si="1"/>
        <v>Normal</v>
      </c>
    </row>
    <row r="51" spans="4:7" x14ac:dyDescent="0.2">
      <c r="D51">
        <f t="shared" si="2"/>
        <v>290</v>
      </c>
      <c r="E51" s="6">
        <v>181.25</v>
      </c>
      <c r="G51" t="str">
        <f t="shared" si="1"/>
        <v>Normal</v>
      </c>
    </row>
    <row r="52" spans="4:7" x14ac:dyDescent="0.2">
      <c r="D52">
        <f t="shared" si="2"/>
        <v>300</v>
      </c>
      <c r="E52" s="6">
        <v>181.81818181818181</v>
      </c>
      <c r="G52" t="str">
        <f t="shared" si="1"/>
        <v>Normal</v>
      </c>
    </row>
    <row r="53" spans="4:7" x14ac:dyDescent="0.2">
      <c r="D53">
        <f t="shared" si="2"/>
        <v>310</v>
      </c>
      <c r="E53" s="6">
        <v>182.35294117647058</v>
      </c>
      <c r="G53" t="str">
        <f t="shared" si="1"/>
        <v>Normal</v>
      </c>
    </row>
    <row r="54" spans="4:7" x14ac:dyDescent="0.2">
      <c r="D54">
        <f t="shared" si="2"/>
        <v>320</v>
      </c>
      <c r="E54" s="6">
        <v>182.85714285714286</v>
      </c>
      <c r="G54" t="str">
        <f t="shared" si="1"/>
        <v>Normal</v>
      </c>
    </row>
    <row r="55" spans="4:7" x14ac:dyDescent="0.2">
      <c r="D55">
        <f t="shared" si="2"/>
        <v>330</v>
      </c>
      <c r="E55" s="6">
        <v>183.33333333333331</v>
      </c>
      <c r="G55" t="str">
        <f t="shared" si="1"/>
        <v>Normal</v>
      </c>
    </row>
    <row r="56" spans="4:7" x14ac:dyDescent="0.2">
      <c r="D56">
        <f t="shared" si="2"/>
        <v>340</v>
      </c>
      <c r="E56" s="6">
        <v>183.78378378378378</v>
      </c>
      <c r="G56" t="str">
        <f t="shared" si="1"/>
        <v>Normal</v>
      </c>
    </row>
    <row r="57" spans="4:7" x14ac:dyDescent="0.2">
      <c r="D57">
        <f t="shared" si="2"/>
        <v>350</v>
      </c>
      <c r="E57" s="6">
        <v>181.81818181818181</v>
      </c>
      <c r="G57" t="str">
        <f t="shared" si="1"/>
        <v>Normal</v>
      </c>
    </row>
    <row r="58" spans="4:7" x14ac:dyDescent="0.2">
      <c r="D58">
        <f t="shared" si="2"/>
        <v>360</v>
      </c>
      <c r="E58" s="6">
        <v>177.77777777777777</v>
      </c>
      <c r="G58" t="str">
        <f t="shared" si="1"/>
        <v>Normal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Shahzeb Z</dc:creator>
  <cp:lastModifiedBy>Shahzeb Z</cp:lastModifiedBy>
  <dcterms:created xsi:type="dcterms:W3CDTF">2026-08-18T16:05:16Z</dcterms:created>
  <dcterms:modified xsi:type="dcterms:W3CDTF">2026-08-19T16:02:26Z</dcterms:modified>
</cp:coreProperties>
</file>