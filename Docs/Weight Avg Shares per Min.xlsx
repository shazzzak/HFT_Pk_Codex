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hazzak/PycharmProjects/HFT/Docs/"/>
    </mc:Choice>
  </mc:AlternateContent>
  <xr:revisionPtr revIDLastSave="0" documentId="13_ncr:1_{C4CAC2D6-52CC-5446-9DAD-99D9A31EBEE2}" xr6:coauthVersionLast="47" xr6:coauthVersionMax="47" xr10:uidLastSave="{00000000-0000-0000-0000-000000000000}"/>
  <bookViews>
    <workbookView xWindow="340" yWindow="980" windowWidth="28800" windowHeight="17100" xr2:uid="{FE528B29-E00D-7F4C-B1FE-C7DFFC45366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G9" i="1" l="1"/>
  <c r="E9" i="1" s="1"/>
  <c r="I8" i="1"/>
  <c r="H9" i="1"/>
  <c r="H8" i="1" l="1"/>
  <c r="G8" i="1" s="1"/>
  <c r="H7" i="1" l="1"/>
  <c r="G7" i="1" s="1"/>
  <c r="E7" i="1" s="1"/>
  <c r="E8" i="1"/>
  <c r="D12" i="1" l="1"/>
  <c r="D14" i="1" s="1"/>
  <c r="D16" i="1" s="1"/>
  <c r="D18" i="1" s="1"/>
</calcChain>
</file>

<file path=xl/sharedStrings.xml><?xml version="1.0" encoding="utf-8"?>
<sst xmlns="http://schemas.openxmlformats.org/spreadsheetml/2006/main" count="14" uniqueCount="13">
  <si>
    <t>Time Left</t>
  </si>
  <si>
    <t>First15</t>
  </si>
  <si>
    <t>Middle</t>
  </si>
  <si>
    <t>Shares / Min</t>
  </si>
  <si>
    <t>Mins</t>
  </si>
  <si>
    <t>Mins Used</t>
  </si>
  <si>
    <t>Mins Left</t>
  </si>
  <si>
    <t>Total Mins</t>
  </si>
  <si>
    <t>Shares Left</t>
  </si>
  <si>
    <t>Time Needed to Sell</t>
  </si>
  <si>
    <t>Last15</t>
  </si>
  <si>
    <t>My Trades / Min</t>
  </si>
  <si>
    <t>My Trades - % of Total Volume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</si>
</sst>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(* #,##0.0_);_(* \(#,##0.0\);_(* &quot;-&quot;??_);_(@_)"/>
    <numFmt numFmtId="165" formatCode="_(* #,##0.0_);_(* \(#,##0.0\);_(* &quot;-&quot;?_);_(@_)"/>
  </numFmts>
  <fonts count="4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rgb="FF0432FF"/>
      <name val="Arial"/>
      <family val="2"/>
    </font>
    <font>
      <sz val="12"/>
      <color rgb="FF0432FF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9">
    <xf numFmtId="0" fontId="0" fillId="0" borderId="0" xfId="0"/>
    <xf numFmtId="3" fontId="0" fillId="0" borderId="0" xfId="0" applyNumberFormat="1"/>
    <xf numFmtId="3" fontId="2" fillId="0" borderId="0" xfId="0" applyNumberFormat="1" applyFont="1"/>
    <xf numFmtId="0" fontId="3" fillId="0" borderId="0" xfId="0" applyFont="1"/>
    <xf numFmtId="9" fontId="3" fillId="0" borderId="0" xfId="2" applyFont="1"/>
    <xf numFmtId="43" fontId="0" fillId="0" borderId="0" xfId="1" applyFont="1"/>
    <xf numFmtId="164" fontId="0" fillId="0" borderId="0" xfId="1" applyNumberFormat="1" applyFont="1"/>
    <xf numFmtId="0" fontId="0" fillId="2" borderId="0" xfId="0" applyFill="1"/>
    <xf numFmtId="165" fontId="0" fillId="0" borderId="0" xfId="0" applyNumberFormat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colors>
    <mruColors>
      <color rgb="FF0432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0BE582-391B-D740-84FD-CE2A5076ED8C}">
  <dimension ref="C2:J21"/>
  <sheetViews>
    <sheetView tabSelected="1" workbookViewId="0">
      <selection activeCell="N4" sqref="N4"/>
    </sheetView>
  </sheetViews>
  <sheetFormatPr baseColWidth="10" defaultRowHeight="16" x14ac:dyDescent="0.2"/>
  <cols>
    <col min="3" max="3" width="24.83203125" bestFit="1" customWidth="1"/>
  </cols>
  <sheetData>
    <row r="2" spans="3:10" x14ac:dyDescent="0.2">
      <c r="C2" t="s">
        <v>8</v>
      </c>
      <c r="D2" s="3">
        <v>1000</v>
      </c>
    </row>
    <row r="3" spans="3:10" ht="23" x14ac:dyDescent="0.25">
      <c r="C3" t="s">
        <v>0</v>
      </c>
      <c r="D3" s="3">
        <v>360</v>
      </c>
      <c r="E3" s="2"/>
      <c r="F3" s="2"/>
      <c r="G3" s="2"/>
      <c r="H3" s="2"/>
      <c r="I3" s="2"/>
      <c r="J3" s="2"/>
    </row>
    <row r="6" spans="3:10" x14ac:dyDescent="0.2">
      <c r="D6" t="s">
        <v>3</v>
      </c>
      <c r="E6" t="s">
        <v>4</v>
      </c>
      <c r="G6" t="s">
        <v>5</v>
      </c>
      <c r="H6" t="s">
        <v>6</v>
      </c>
      <c r="I6" t="s">
        <v>7</v>
      </c>
    </row>
    <row r="7" spans="3:10" x14ac:dyDescent="0.2">
      <c r="C7" t="s">
        <v>1</v>
      </c>
      <c r="D7" s="3">
        <v>100</v>
      </c>
      <c r="E7" s="1">
        <f t="shared" ref="E7:E8" si="0">-G7</f>
        <v>15</v>
      </c>
      <c r="G7" s="1">
        <f>-MIN(I7,H7)</f>
        <v>-15</v>
      </c>
      <c r="H7" s="1">
        <f>H8+G8</f>
        <v>15</v>
      </c>
      <c r="I7">
        <v>15</v>
      </c>
    </row>
    <row r="8" spans="3:10" x14ac:dyDescent="0.2">
      <c r="C8" t="s">
        <v>2</v>
      </c>
      <c r="D8" s="3">
        <v>50</v>
      </c>
      <c r="E8" s="1">
        <f t="shared" si="0"/>
        <v>330</v>
      </c>
      <c r="G8" s="1">
        <f>-MIN(I8,H8)</f>
        <v>-330</v>
      </c>
      <c r="H8" s="1">
        <f>H9+G9</f>
        <v>345</v>
      </c>
      <c r="I8" s="7">
        <f>360-15-15</f>
        <v>330</v>
      </c>
    </row>
    <row r="9" spans="3:10" x14ac:dyDescent="0.2">
      <c r="C9" t="s">
        <v>10</v>
      </c>
      <c r="D9" s="3">
        <v>150</v>
      </c>
      <c r="E9" s="1">
        <f>-G9</f>
        <v>15</v>
      </c>
      <c r="G9" s="1">
        <f>-MIN(I9,H9)</f>
        <v>-15</v>
      </c>
      <c r="H9" s="1">
        <f>D3</f>
        <v>360</v>
      </c>
      <c r="I9">
        <v>15</v>
      </c>
    </row>
    <row r="12" spans="3:10" x14ac:dyDescent="0.2">
      <c r="C12" t="s">
        <v>3</v>
      </c>
      <c r="D12" s="5">
        <f>SUMPRODUCT(D7:D9,E7:E9)/SUM(E7:E9)</f>
        <v>56.25</v>
      </c>
    </row>
    <row r="13" spans="3:10" x14ac:dyDescent="0.2">
      <c r="C13" t="s">
        <v>12</v>
      </c>
      <c r="D13" s="4">
        <v>0.1</v>
      </c>
    </row>
    <row r="14" spans="3:10" x14ac:dyDescent="0.2">
      <c r="C14" t="s">
        <v>11</v>
      </c>
      <c r="D14" s="6">
        <f>D12*D13</f>
        <v>5.625</v>
      </c>
    </row>
    <row r="16" spans="3:10" x14ac:dyDescent="0.2">
      <c r="C16" t="s">
        <v>9</v>
      </c>
      <c r="D16" s="8">
        <f>D2/D14</f>
        <v>177.77777777777777</v>
      </c>
    </row>
    <row r="18" spans="4:5" x14ac:dyDescent="0.2">
      <c r="D18" t="str">
        <f>IF(D16&lt;=D3,"Normal", "Ramp")</f>
        <v>Normal</v>
      </c>
    </row>
    <row r="21" spans="4:5" x14ac:dyDescent="0.2">
      <c r="E21" s="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Shahzeb Z</dc:creator>
  <cp:lastModifiedBy>Shahzeb Z</cp:lastModifiedBy>
  <dcterms:created xsi:type="dcterms:W3CDTF">2026-08-18T16:05:16Z</dcterms:created>
  <dcterms:modified xsi:type="dcterms:W3CDTF">2026-08-19T14:58:23Z</dcterms:modified>
</cp:coreProperties>
</file>