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What it does / tests</t>
        </is>
      </c>
      <c r="C1" s="1" t="inlineStr">
        <is>
          <t>Imports</t>
        </is>
      </c>
      <c r="D1" s="1" t="inlineStr">
        <is>
          <t>Outputs</t>
        </is>
      </c>
      <c r="E1" s="1" t="inlineStr">
        <is>
          <t>Category</t>
        </is>
      </c>
      <c r="F1" s="1" t="inlineStr">
        <is>
          <t>Important Info Missed</t>
        </is>
      </c>
    </row>
    <row r="2">
      <c r="A2" t="inlineStr">
        <is>
          <t>age_exit_sweep.py</t>
        </is>
      </c>
      <c r="B2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2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2" t="inlineStr">
        <is>
          <t>f"age_exit_sweep_DAILY_{stamp}.csv", f"age_exit_sweep_PERNAME_{stamp}.csv", f"age_exit_sweep_{stamp}.csv", to_csv</t>
        </is>
      </c>
      <c r="E2" t="inlineStr">
        <is>
          <t>Sweep / Experiment</t>
        </is>
      </c>
      <c r="F2" t="inlineStr">
        <is>
          <t>THE HYPOTHESIS (stated so the data can refute it): median hold of 4-6 minutes</t>
        </is>
      </c>
    </row>
    <row r="3">
      <c r="A3" t="inlineStr">
        <is>
          <t>aggressor_flow_full.py</t>
        </is>
      </c>
      <c r="B3">
        <f>=========================================================================== aggressor_flow_full.py ----------------------------------------------------------------------------</f>
        <v/>
      </c>
      <c r="C3" t="inlineStr">
        <is>
          <t>from datetime import datetime, from multiprocessing import Pool, from pathlib import Path, import argparse, import math, import numpy as np, import pandas as pd, import time</t>
        </is>
      </c>
      <c r="D3" t="inlineStr">
        <is>
          <t>"aggressor_flow_full_raw.csv", to_csv</t>
        </is>
      </c>
      <c r="E3" t="inlineStr">
        <is>
          <t>Utility / Support</t>
        </is>
      </c>
      <c r="F3" t="inlineStr">
        <is>
          <t>None</t>
        </is>
      </c>
    </row>
    <row r="4">
      <c r="A4" t="inlineStr">
        <is>
          <t>aggressor_flow_gate.py</t>
        </is>
      </c>
      <c r="B4">
        <f>=========================================================================== aggressor_flow_gate.py ----------------------------------------------------------------------------</f>
        <v/>
      </c>
      <c r="C4" t="inlineStr">
        <is>
          <t>from datetime import datetime, from pathlib import Path, import argparse, import numpy as np, import pandas as pd, import time</t>
        </is>
      </c>
      <c r="D4" t="inlineStr">
        <is>
          <t>"aggressor_flow_gate_raw.csv", "date=*.parquet", to_csv</t>
        </is>
      </c>
      <c r="E4" t="inlineStr">
        <is>
          <t>Utility / Support</t>
        </is>
      </c>
      <c r="F4" t="inlineStr">
        <is>
          <t>None</t>
        </is>
      </c>
    </row>
    <row r="5">
      <c r="A5" t="inlineStr">
        <is>
          <t>analyze_bucket_attribution.py</t>
        </is>
      </c>
      <c r="B5" t="inlineStr">
        <is>
          <t>analyze_bucket_attribution.py -- THIN CONSUMER of mm_harness. Replaces the standalone attribute_fills_fifo.py + decompose_buckets.py: all the scaffolding (loaders, backtest driver, FIFO attribution...</t>
        </is>
      </c>
      <c r="C5" t="inlineStr">
        <is>
          <t>from datetime import datetime, from pathlib import Path, import mm_harness as H, import numpy as np, import pandas as pd, import run_legacy_mm as R, import time</t>
        </is>
      </c>
      <c r="D5" t="inlineStr">
        <is>
          <t>f"attribution_panel_{stamp}.csv", to_csv</t>
        </is>
      </c>
      <c r="E5" t="inlineStr">
        <is>
          <t>Analytics / Attribution</t>
        </is>
      </c>
      <c r="F5" t="inlineStr">
        <is>
          <t>None</t>
        </is>
      </c>
    </row>
    <row r="6">
      <c r="A6" t="inlineStr">
        <is>
          <t>analyze_bucket_attribution_fast.py</t>
        </is>
      </c>
      <c r="B6" t="inlineStr">
        <is>
          <t>analyze_bucket_attribution_fast.py -- PARALLEL twin of the attribution consumer. WHY: the serial version took ~152 min for the full run. The engine's snapshot bottleneck is ALREADY fixed (snapshot_...</t>
        </is>
      </c>
      <c r="C6" t="inlineStr">
        <is>
          <t>from datetime import datetime, from pathlib import Path, import cProfile, import io, import mm_harness as H, import multiprocessing as mp, import numpy as np, import pandas as pd, import pstats, import run_legacy_mm as R, import time</t>
        </is>
      </c>
      <c r="D6" t="inlineStr">
        <is>
          <t>f"attribution_panel_fast_{stamp}.csv", to_csv</t>
        </is>
      </c>
      <c r="E6" t="inlineStr">
        <is>
          <t>Analytics / Attribution</t>
        </is>
      </c>
      <c r="F6" t="inlineStr">
        <is>
          <t>WHY: the serial version took ~152 min for the full run. The engine's snapshot</t>
        </is>
      </c>
    </row>
    <row r="7">
      <c r="A7" t="inlineStr">
        <is>
          <t>attribute_fills_fifo.py</t>
        </is>
      </c>
      <c r="B7" t="inlineStr">
        <is>
          <t>attribute_fills_fifo.py -- PRODUCTION-GRADE per-fill P&amp;L attribution. WHY THIS REPLACES THE 5s-MARKOUT DECOMPOSITION: A fixed markout horizon (5s) measures the mid move over an arbitrary window that</t>
        </is>
      </c>
      <c r="C7" t="inlineStr">
        <is>
          <t>from collections import deque, from datetime import datetime, from micro_mm import MicrostructureMM, from mm_backtest import Backtester, LatencyModel, fee_for, from pathlib import Path, import confirm_micro_vs_naive as C, import numpy as np, import pandas as pd, import run_legacy_mm as R, import time</t>
        </is>
      </c>
      <c r="D7" t="inlineStr">
        <is>
          <t>"session_scales_*.csv", "session_segments_*.csv", "time_windows_*.csv", "volume_profile_*.csv", f"fifo_attrib_daily_{stamp}.csv", f"fifo_attrib_summary_{stamp}.csv", to_csv</t>
        </is>
      </c>
      <c r="E7" t="inlineStr">
        <is>
          <t>Utility / Support</t>
        </is>
      </c>
      <c r="F7" t="inlineStr">
        <is>
          <t>WHY THIS REPLACES THE 5s-MARKOUT DECOMPOSITION:</t>
        </is>
      </c>
    </row>
    <row r="8">
      <c r="A8" t="inlineStr">
        <is>
          <t>boost_qdr_markout_diagnostic.py</t>
        </is>
      </c>
      <c r="B8">
        <f>=========================================================================== boost_qdr_markout_diagnostic.py ----------------------------------------------------------------------------</f>
        <v/>
      </c>
      <c r="C8" t="inlineStr">
        <is>
          <t>from pathlib import Path, import argparse, import matplotlib, import matplotlib.pyplot as plt, import numpy as np, import pandas as pd, import time</t>
        </is>
      </c>
      <c r="D8" t="inlineStr">
        <is>
          <t>"date=*.parquet", f"{gate}_daily_{h}ms.csv", f"{gate}_pername_{h}ms.csv", f"{gate}_profile_{h}ms.csv", to_csv</t>
        </is>
      </c>
      <c r="E8" t="inlineStr">
        <is>
          <t>Analytics / Attribution</t>
        </is>
      </c>
      <c r="F8" t="inlineStr">
        <is>
          <t>PRIOR: favorable. NOTE: qdr_* conflates aggressive consumption with</t>
        </is>
      </c>
    </row>
    <row r="9">
      <c r="A9" t="inlineStr">
        <is>
          <t>build_feature_store.py</t>
        </is>
      </c>
      <c r="B9">
        <f>=========================================================================== build_feature_store.py -- PSX Event-Driven Feature Extractor (merged v2) ===============================================...</f>
        <v/>
      </c>
      <c r="C9" t="inlineStr">
        <is>
          <t>from mm_backtest import Backtester, LatencyModel, from pathlib import Path, import mm_backtest, import numpy as np, import pandas as pd, import run_legacy_mm as R, import time</t>
        </is>
      </c>
      <c r="D9" t="inlineStr">
        <is>
          <t>f"date={date}.parquet", to_parquet</t>
        </is>
      </c>
      <c r="E9" t="inlineStr">
        <is>
          <t>Data Pipeline / Extractor</t>
        </is>
      </c>
      <c r="F9" t="inlineStr">
        <is>
          <t>None</t>
        </is>
      </c>
    </row>
    <row r="10">
      <c r="A10" t="inlineStr">
        <is>
          <t>build_feature_store_futures.py</t>
        </is>
      </c>
      <c r="B10" t="inlineStr">
        <is>
          <t>build_feature_store_futures.py -- build the feature store for the DELIVERY FUTURES, reusing the EXACT spot builder (build_one) so futures scoring routes through the engine's own Book -- the same pr...</t>
        </is>
      </c>
      <c r="C10" t="inlineStr">
        <is>
          <t>from pathlib import Path, import build_feature_store as BFS, import duckdb, import numpy as np, import pandas as pd, import run_legacy_mm as R, import time</t>
        </is>
      </c>
      <c r="D10" t="inlineStr">
        <is>
          <t>f"date={date}.parquet", to_parquet</t>
        </is>
      </c>
      <c r="E10" t="inlineStr">
        <is>
          <t>Data Pipeline / Extractor</t>
        </is>
      </c>
      <c r="F10" t="inlineStr">
        <is>
          <t>None</t>
        </is>
      </c>
    </row>
    <row r="11">
      <c r="A11" t="inlineStr">
        <is>
          <t>build_volume_profile.py</t>
        </is>
      </c>
      <c r="B11" t="inlineStr">
        <is>
          <t>build_volume_profile.py -- the two inputs SZ's unwind model needs: (A) per-NAME bucket volume rates: First15 / Middle / Last15 shares-per-minute, where First15 = first 15 min of CONTINUOUS trading,...</t>
        </is>
      </c>
      <c r="C11" t="inlineStr">
        <is>
          <t>from datetime import datetime, from pathlib import Path, import confirm_micro_vs_naive as C, import numpy as np, import pandas as pd, import run_legacy_mm as R, import time</t>
        </is>
      </c>
      <c r="D11" t="inlineStr">
        <is>
          <t>"/Users/shazzak/Capital Stake - Results/mm_watchlist_final.csv", f"session_segments_{stamp}.csv", f"volume_profile_{stamp}.csv", to_csv</t>
        </is>
      </c>
      <c r="E11" t="inlineStr">
        <is>
          <t>Utility / Support</t>
        </is>
      </c>
      <c r="F11" t="inlineStr">
        <is>
          <t>None</t>
        </is>
      </c>
    </row>
    <row r="12">
      <c r="A12" t="inlineStr">
        <is>
          <t>build_watchlist.py</t>
        </is>
      </c>
      <c r="B12" t="inlineStr">
        <is>
          <t>Final ready-leg MM watchlist from the 9-month persistence screen. Reads persistence_REG_2p00.csv (Stage-2 output) and produces the definitive two-tier watchlist: real ceiling opportunity AND persis...</t>
        </is>
      </c>
      <c r="C12" t="inlineStr">
        <is>
          <t>import pandas as pd</t>
        </is>
      </c>
      <c r="D12" t="inlineStr">
        <is>
          <t>"mm_watchlist_final.csv", "persistence_REG_2p00.csv", to_csv</t>
        </is>
      </c>
      <c r="E12" t="inlineStr">
        <is>
          <t>Calibration / Pre-computation</t>
        </is>
      </c>
      <c r="F12" t="inlineStr">
        <is>
          <t>None</t>
        </is>
      </c>
    </row>
    <row r="13">
      <c r="A13" t="inlineStr">
        <is>
          <t>calibrate_all_scales.py</t>
        </is>
      </c>
      <c r="B13" t="inlineStr">
        <is>
          <t>calibrate_all_scales.py -- back-solve session_scale for EVERY shortlist name, using the EXACT rule proven on PACE (calibrate_pace_scale.py): session_scale = median_spread_pkr / (gamma * (sigma*fair...</t>
        </is>
      </c>
      <c r="C13" t="inlineStr">
        <is>
          <t>from datetime import datetime, from micro_mm import MicrostructureMM, from mm_backtest import Backtester, LatencyModel, from pathlib import Path, import numpy as np, import pandas as pd, import run_legacy_mm as R, import time</t>
        </is>
      </c>
      <c r="D13" t="inlineStr">
        <is>
          <t>"/Users/shazzak/Capital Stake - Results/mm_watchlist_final.csv", f"session_scales_{stamp}.csv", f"{FS_ROOT}/{sym}/date=*.parquet", f"{FS_ROOT}/{sym}/date=*/*.parquet", to_csv</t>
        </is>
      </c>
      <c r="E13" t="inlineStr">
        <is>
          <t>Calibration / Pre-computation</t>
        </is>
      </c>
      <c r="F13" t="inlineStr">
        <is>
          <t>None</t>
        </is>
      </c>
    </row>
    <row r="14">
      <c r="A14" t="inlineStr">
        <is>
          <t>calibrate_kappa.py</t>
        </is>
      </c>
      <c r="B14" t="inlineStr">
        <is>
          <t>calibrate_kappa.py -- fit the Avellaneda-Stoikov fill-intensity decay per symbol, so the currently-INERT base half-spread term in micro_mm.py can be activated with a data-derived kappa instead of t...</t>
        </is>
      </c>
      <c r="C14" t="inlineStr">
        <is>
          <t>from pathlib import Path, import numpy as np, import pandas as pd, import run_legacy_mm as R</t>
        </is>
      </c>
      <c r="D14" t="inlineStr">
        <is>
          <t>"kappa_calibration.csv", to_csv</t>
        </is>
      </c>
      <c r="E14" t="inlineStr">
        <is>
          <t>Calibration / Pre-computation</t>
        </is>
      </c>
      <c r="F14" t="inlineStr">
        <is>
          <t>None</t>
        </is>
      </c>
    </row>
    <row r="15">
      <c r="A15" t="inlineStr">
        <is>
          <t>calibrate_pace_scale.py</t>
        </is>
      </c>
      <c r="B15" t="inlineStr">
        <is>
          <t>calibrate_pace_scale.py -- back-solve PACE's session_scale so the inventory skew at MAX inventory ~ 1x PACE's median spread. EXACT sigma: we run PACE through the REAL MicrostructureMM.observe() (su...</t>
        </is>
      </c>
      <c r="C15" t="inlineStr">
        <is>
          <t>from micro_mm import MicrostructureMM, from mm_backtest import Backtester, LatencyModel, from pathlib import Path, import numpy as np, import run_legacy_mm as R, import time</t>
        </is>
      </c>
      <c r="D15" t="inlineStr">
        <is>
          <t>"/Users/shazzak/Capital Stake - Results/feature_store/PACE/*.parquet"</t>
        </is>
      </c>
      <c r="E15" t="inlineStr">
        <is>
          <t>Calibration / Pre-computation</t>
        </is>
      </c>
      <c r="F15" t="inlineStr">
        <is>
          <t>None</t>
        </is>
      </c>
    </row>
    <row r="16">
      <c r="A16" t="inlineStr">
        <is>
          <t>calibrate_time_windows.py</t>
        </is>
      </c>
      <c r="B16" t="inlineStr">
        <is>
          <t>calibrate_time_windows.py -- per-name EOD unwind windows from a PARTICIPATION cap. The rule (optimal-execution style, replaces the old fixed 5min/1min): Minutes_Needed = max_inv / (closing_vol_per_...</t>
        </is>
      </c>
      <c r="C16" t="inlineStr">
        <is>
          <t>from datetime import datetime, from pathlib import Path, import confirm_micro_vs_naive as C, import numpy as np, import pandas as pd, import run_legacy_mm as R, import time</t>
        </is>
      </c>
      <c r="D16" t="inlineStr">
        <is>
          <t>"/Users/shazzak/Capital Stake - Results/mm_watchlist_final.csv", f"time_windows_{stamp}.csv", to_csv</t>
        </is>
      </c>
      <c r="E16" t="inlineStr">
        <is>
          <t>Calibration / Pre-computation</t>
        </is>
      </c>
      <c r="F16" t="inlineStr">
        <is>
          <t>None</t>
        </is>
      </c>
    </row>
    <row r="17">
      <c r="A17" t="inlineStr">
        <is>
          <t>check_fills.py</t>
        </is>
      </c>
      <c r="B17" t="inlineStr">
        <is>
          <t>check_fills.py Reconciliation preview for the persisted real fills, BEFORE running attribution. Confirms persist_fills.py produced 4 (strategy x symbol) fill sets and that the</t>
        </is>
      </c>
      <c r="C17" t="inlineStr">
        <is>
          <t>from pathlib import Path, import duckdb</t>
        </is>
      </c>
      <c r="D17" t="inlineStr">
        <is>
          <t>"date=*.parquet"</t>
        </is>
      </c>
      <c r="E17" t="inlineStr">
        <is>
          <t>Diagnostic / Analysis</t>
        </is>
      </c>
      <c r="F17" t="inlineStr">
        <is>
          <t>None</t>
        </is>
      </c>
    </row>
    <row r="18">
      <c r="A18" t="inlineStr">
        <is>
          <t>check_micro_signature.py</t>
        </is>
      </c>
      <c r="B18" t="inlineStr">
        <is>
          <t>check_micro_signature.py -- confirm the microprice/band edits landed in micro_mm.MictrostructureMM.__init__ BEFORE burning compute on the full run. Run from the project root (HFT/):  python check_m...</t>
        </is>
      </c>
      <c r="C18" t="inlineStr">
        <is>
          <t>from micro_mm import MicrostructureMM, from pathlib import Path, import inspect, import sys</t>
        </is>
      </c>
      <c r="D18" t="inlineStr">
        <is>
          <t>None</t>
        </is>
      </c>
      <c r="E18" t="inlineStr">
        <is>
          <t>Diagnostic / Analysis</t>
        </is>
      </c>
      <c r="F18" t="inlineStr">
        <is>
          <t>None</t>
        </is>
      </c>
    </row>
    <row r="19">
      <c r="A19" t="inlineStr">
        <is>
          <t>clip_size_sweep.py</t>
        </is>
      </c>
      <c r="B19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19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19" t="inlineStr">
        <is>
          <t>f"clip_size_sweep_DAILY_{stamp}.csv", f"clip_size_sweep_PERNAME_{stamp}.csv", f"clip_size_sweep_{stamp}.csv", to_csv</t>
        </is>
      </c>
      <c r="E19" t="inlineStr">
        <is>
          <t>Sweep / Experiment</t>
        </is>
      </c>
      <c r="F19" t="inlineStr">
        <is>
          <t>THE HYPOTHESIS (stated so the data can refute it): median hold of 4-6 minutes</t>
        </is>
      </c>
    </row>
    <row r="20">
      <c r="A20" t="inlineStr">
        <is>
          <t>close_thinning.py</t>
        </is>
      </c>
      <c r="B20" t="inlineStr">
        <is>
          <t>close_thinning.py -- WHEN do books go one-sided before the bell? Decides whether "cross to flatten at T-120s" can work: on the days that CLOSED one-sided, was the book already one-sided at T-120s (...</t>
        </is>
      </c>
      <c r="C20" t="inlineStr">
        <is>
          <t>from mm_backtest import Book, from pathlib import Path, import matplotlib, import matplotlib.pyplot as plt, import numpy as np, import pandas as pd, import run_legacy_mm as R, import time</t>
        </is>
      </c>
      <c r="D20" t="inlineStr">
        <is>
          <t>None</t>
        </is>
      </c>
      <c r="E20" t="inlineStr">
        <is>
          <t>Utility / Support</t>
        </is>
      </c>
      <c r="F20" t="inlineStr">
        <is>
          <t>None</t>
        </is>
      </c>
    </row>
    <row r="21">
      <c r="A21" t="inlineStr">
        <is>
          <t>config.py</t>
        </is>
      </c>
      <c r="B21" t="inlineStr">
        <is>
          <t>config.py -- single source of truth for every filesystem path the HFT scripts use. Import from here instead of hardcoding strings at the top of each script: from config import PARSED_ROOT, RESULTS_...</t>
        </is>
      </c>
      <c r="C21" t="inlineStr">
        <is>
          <t>from pathlib import Path</t>
        </is>
      </c>
      <c r="D21" t="inlineStr">
        <is>
          <t>"confirm_micro_vs_naive.csv", "eod_positions.csv", "mm_watchlist_final.csv", "pnl_summary.csv", to_csv</t>
        </is>
      </c>
      <c r="E21" t="inlineStr">
        <is>
          <t>Configuration / Core Scaffolding</t>
        </is>
      </c>
      <c r="F21" t="inlineStr">
        <is>
          <t>NOTE on the two fills folders: FILLS_DIR points at the queue-position attribution</t>
        </is>
      </c>
    </row>
    <row r="22">
      <c r="A22" t="inlineStr">
        <is>
          <t>confirm_micro_vs_naive.py</t>
        </is>
      </c>
      <c r="B22" t="inlineStr">
        <is>
          <t>confirm_micro_vs_naive.py -- validation gate: does capture-recalibrated micro beat naive, per symbol, on 207 days? Measures P&amp;L two ways and reconciles: Path A -- Backtester true EOD P&amp;L in PKR (bt...</t>
        </is>
      </c>
      <c r="C22" t="inlineStr">
        <is>
          <t>from micro_mm import MicrostructureMM, from mm_backtest import Backtester, LatencyModel, NaiveSymmetricMM, from pathlib import Path, import fill_attribution as FA, import numpy as np, import pandas as pd, import persist_fills as PF, import run_legacy_mm as R, import time</t>
        </is>
      </c>
      <c r="D22" t="inlineStr">
        <is>
          <t>"/Users/shazzak/Capital Stake - Results/confirm_micro_vs_naive.csv", "eod_positions.csv", "pnl_summary.csv", f"date={date}.parquet", to_csv</t>
        </is>
      </c>
      <c r="E22" t="inlineStr">
        <is>
          <t>Utility / Support</t>
        </is>
      </c>
      <c r="F22" t="inlineStr">
        <is>
          <t>None</t>
        </is>
      </c>
    </row>
    <row r="23">
      <c r="A23" t="inlineStr">
        <is>
          <t>corp_action_detector.py</t>
        </is>
      </c>
      <c r="B23" t="inlineStr">
        <is>
          <t>Corporate-action detector for multi-day PSX runs. PURPOSE -------</t>
        </is>
      </c>
      <c r="C23" t="inlineStr">
        <is>
          <t>from pathlib import Path, import numpy as np, import pandas as pd</t>
        </is>
      </c>
      <c r="D23" t="inlineStr">
        <is>
          <t>"close_history.csv", "corp_action_registry.csv", to_csv</t>
        </is>
      </c>
      <c r="E23" t="inlineStr">
        <is>
          <t>Data Pipeline / Extractor</t>
        </is>
      </c>
      <c r="F23" t="inlineStr">
        <is>
          <t>WHY IT MATTERS (the contamination it prevents)</t>
        </is>
      </c>
    </row>
    <row r="24">
      <c r="A24" t="inlineStr">
        <is>
          <t>corp_actions_master.py</t>
        </is>
      </c>
      <c r="B24" t="inlineStr">
        <is>
          <t>Corporate-action MASTER + reconciliation layer. DOCTRINE (hybrid, two sources): PRIMARY   = vendor/exchange announcements (PUCARS / Capital Stake / PSX</t>
        </is>
      </c>
      <c r="C24" t="inlineStr">
        <is>
          <t>from pathlib import Path, import numpy as np, import pandas as pd</t>
        </is>
      </c>
      <c r="D24" t="inlineStr">
        <is>
          <t>".parquet"</t>
        </is>
      </c>
      <c r="E24" t="inlineStr">
        <is>
          <t>Data Pipeline / Extractor</t>
        </is>
      </c>
      <c r="F24" t="inlineStr">
        <is>
          <t>None</t>
        </is>
      </c>
    </row>
    <row r="25">
      <c r="A25" t="inlineStr">
        <is>
          <t>daily_pnl_charts.py</t>
        </is>
      </c>
      <c r="B25" t="inlineStr">
        <is>
          <t>daily_pnl_charts.py -- per-DAY P&amp;L series for naive + micro configs, both symbols, to expose whether a few outlier days (e.g. the Iran/oil halt days) dominate the total P&amp;L that the confirmation re...</t>
        </is>
      </c>
      <c r="C25" t="inlineStr">
        <is>
          <t>from micro_mm import MicrostructureMM, from mm_backtest import Backtester, LatencyModel, NaiveSymmetricMM, from pathlib import Path, import numpy as np, import pandas as pd, import run_legacy_mm as R, import time</t>
        </is>
      </c>
      <c r="D25" t="inlineStr">
        <is>
          <t>"daily_pnl.csv", to_csv</t>
        </is>
      </c>
      <c r="E25" t="inlineStr">
        <is>
          <t>Analytics / Attribution</t>
        </is>
      </c>
      <c r="F25" t="inlineStr">
        <is>
          <t>None</t>
        </is>
      </c>
    </row>
    <row r="26">
      <c r="A26" t="inlineStr">
        <is>
          <t>daily_pnl_plot.py</t>
        </is>
      </c>
      <c r="B26" t="inlineStr">
        <is>
          <t>daily_pnl_plot.py -- is the P&amp;L a steady grind or a few outlier days? Reads the per-day P&amp;L that confirm ALREADY saves: eod_positions.csv has one row per (symbol, variant, date) and its 'liquidated...</t>
        </is>
      </c>
      <c r="C26" t="inlineStr">
        <is>
          <t>from pathlib import Path, import matplotlib, import matplotlib.pyplot as plt, import numpy as np, import pandas as pd</t>
        </is>
      </c>
      <c r="D26" t="inlineStr">
        <is>
          <t>"/Users/shazzak/Capital Stake - Results/eod_positions.csv"</t>
        </is>
      </c>
      <c r="E26" t="inlineStr">
        <is>
          <t>Analytics / Attribution</t>
        </is>
      </c>
      <c r="F26" t="inlineStr">
        <is>
          <t>None</t>
        </is>
      </c>
    </row>
    <row r="27">
      <c r="A27" t="inlineStr">
        <is>
          <t>decile_markout_validation.py</t>
        </is>
      </c>
      <c r="B27" t="inlineStr">
        <is>
          <t>!/usr/bin/env python3 decile_markout_validation.py -- ADAPTED to the PSX feature-store layout. Only three things changed from the generic version, all forced by your schema:</t>
        </is>
      </c>
      <c r="C27" t="inlineStr">
        <is>
          <t>import duckdb, import glob, import matplotlib.pyplot as plt, import numpy as np, import os, import pandas as pd</t>
        </is>
      </c>
      <c r="D27" t="inlineStr">
        <is>
          <t>"*.parquet", ".parquet", "date=*.parquet", "date=2026-06-30.parquet", f"No parquet under {DATA_ROOT}/*/*.parquet", f"{fname}_daily_decile_summary.parquet", to_parquet</t>
        </is>
      </c>
      <c r="E27" t="inlineStr">
        <is>
          <t>Analytics / Attribution</t>
        </is>
      </c>
      <c r="F27" t="inlineStr">
        <is>
          <t>None</t>
        </is>
      </c>
    </row>
    <row r="28">
      <c r="A28" t="inlineStr">
        <is>
          <t>decompose_buckets.py</t>
        </is>
      </c>
      <c r="B28" t="inlineStr">
        <is>
          <t>decompose_buckets.py -- CAPTURE / MARKOUT / FEE breakdown per session bucket. The bucket-size sweep persisted only net_bps per bucket. This recomputes the full decomposition (net = capture + markou...</t>
        </is>
      </c>
      <c r="C28" t="inlineStr">
        <is>
          <t>from datetime import datetime, from micro_mm import MicrostructureMM, from mm_backtest import Backtester, LatencyModel, FEE_TOTAL_PCT, from pathlib import Path, import confirm_micro_vs_naive as C, import numpy as np, import pandas as pd, import run_legacy_mm as R, import time</t>
        </is>
      </c>
      <c r="D28" t="inlineStr">
        <is>
          <t>"session_scales_*.csv", "session_segments_*.csv", "time_windows_*.csv", "volume_profile_*.csv", f"bucket_decomp_daily_{stamp}.csv", f"bucket_decomp_summary_{stamp}.csv", f"date={date}.parquet", to_csv</t>
        </is>
      </c>
      <c r="E28" t="inlineStr">
        <is>
          <t>Utility / Support</t>
        </is>
      </c>
      <c r="F28" t="inlineStr">
        <is>
          <t>config, so we can see WHY the open loses and the mid/preclose win:</t>
        </is>
      </c>
    </row>
    <row r="29">
      <c r="A29" t="inlineStr">
        <is>
          <t>delete.py</t>
        </is>
      </c>
      <c r="B29" t="inlineStr">
        <is>
          <t>os for filesystem walking, duckdb for reading parquet schema import os, duckdb candidate roots: your home dir and any mounted external/data drives</t>
        </is>
      </c>
      <c r="C29" t="inlineStr">
        <is>
          <t>import os, duckdb</t>
        </is>
      </c>
      <c r="D29" t="inlineStr">
        <is>
          <t>None</t>
        </is>
      </c>
      <c r="E29" t="inlineStr">
        <is>
          <t>Utility / Support</t>
        </is>
      </c>
      <c r="F29" t="inlineStr">
        <is>
          <t>None</t>
        </is>
      </c>
    </row>
    <row r="30">
      <c r="A30" t="inlineStr">
        <is>
          <t>describe_pace_features.py</t>
        </is>
      </c>
      <c r="B30" t="inlineStr">
        <is>
          <t>describe_pace_features.py -- print the column names + types of PACE's feature store, so we know exactly what's available for the session_scale back-solve. Run from anywhere:  python describe_pace_f...</t>
        </is>
      </c>
      <c r="C30" t="inlineStr">
        <is>
          <t>None</t>
        </is>
      </c>
      <c r="D30" t="inlineStr">
        <is>
          <t>"/Users/shazzak/Capital Stake - Results/feature_store/PACE/*.parquet"</t>
        </is>
      </c>
      <c r="E30" t="inlineStr">
        <is>
          <t>Utility / Support</t>
        </is>
      </c>
      <c r="F30" t="inlineStr">
        <is>
          <t>note why we fell back</t>
        </is>
      </c>
    </row>
    <row r="31">
      <c r="A31" t="inlineStr">
        <is>
          <t>diag_adverse_selection.py</t>
        </is>
      </c>
      <c r="B31" t="inlineStr">
        <is>
          <t>diag_adverse_selection.py -- WHY does micro drift short while naive stays flat? Tests three code-identified suspects, per fill, against book context: (1) GATE SELECTION: are micro's fills concentra...</t>
        </is>
      </c>
      <c r="C31" t="inlineStr">
        <is>
          <t>from micro_mm import MicrostructureMM, from mm_backtest import Backtester, LatencyModel, from pathlib import Path, import fill_attribution as FA, import matplotlib, import matplotlib.pyplot as plt, import numpy as np, import pandas as pd, import persist_fills as PF, import run_legacy_mm as R, import time</t>
        </is>
      </c>
      <c r="D31" t="inlineStr">
        <is>
          <t>f"date={date}.parquet"</t>
        </is>
      </c>
      <c r="E31" t="inlineStr">
        <is>
          <t>Diagnostic / Analysis</t>
        </is>
      </c>
      <c r="F31" t="inlineStr">
        <is>
          <t>diag_adverse_selection.py -- WHY does micro drift short while naive stays flat?</t>
        </is>
      </c>
    </row>
    <row r="32">
      <c r="A32" t="inlineStr">
        <is>
          <t>diag_build_events.py</t>
        </is>
      </c>
      <c r="B32" t="inlineStr">
        <is>
          <t>diag_build_events.py -- isolate build_events timing + snapshot count, to see whether it is slow (large snapshot volume -&gt; many prep_snapshot calls) or hung. Run from existing_mm_live/:  python diag...</t>
        </is>
      </c>
      <c r="C32" t="inlineStr">
        <is>
          <t>from pathlib import Path, from snapshot_prep import prep_snapshot, import pandas as pd, import run_legacy_mm as R, import time, sys</t>
        </is>
      </c>
      <c r="D32" t="inlineStr">
        <is>
          <t>None</t>
        </is>
      </c>
      <c r="E32" t="inlineStr">
        <is>
          <t>Diagnostic / Analysis</t>
        </is>
      </c>
      <c r="F32" t="inlineStr">
        <is>
          <t>None</t>
        </is>
      </c>
    </row>
    <row r="33">
      <c r="A33" t="inlineStr">
        <is>
          <t>diag_confirm_day.py</t>
        </is>
      </c>
      <c r="B33" t="inlineStr">
        <is>
          <t>diag_confirm_day.py -- time EACH sub-step of the confirmation's per-day path, to find the ~12s that score_bps did NOT account for. Replicates exactly what confirm_micro_vs_naive.run_one + score_bps...</t>
        </is>
      </c>
      <c r="C33" t="inlineStr">
        <is>
          <t>from mm_backtest import Backtester, LatencyModel, NaiveSymmetricMM, from pathlib import Path, import fill_attribution as FA, import numpy as np, import pandas as pd, import persist_fills as PF, import run_legacy_mm as R, import time</t>
        </is>
      </c>
      <c r="D33" t="inlineStr">
        <is>
          <t>f"date={DATE}.parquet"</t>
        </is>
      </c>
      <c r="E33" t="inlineStr">
        <is>
          <t>Diagnostic / Analysis</t>
        </is>
      </c>
      <c r="F33" t="inlineStr">
        <is>
          <t>None</t>
        </is>
      </c>
    </row>
    <row r="34">
      <c r="A34" t="inlineStr">
        <is>
          <t>diag_inventory_sigma.py</t>
        </is>
      </c>
      <c r="B34" t="inlineStr">
        <is>
          <t>diag_inventory_sigma.py -- confirm micro's inventory-carry problem and calibrate the session_scale skew fix, per symbol, from MEASURED sigma. Two purposes:</t>
        </is>
      </c>
      <c r="C34" t="inlineStr">
        <is>
          <t>from micro_mm import MicrostructureMM, from mm_backtest import Backtester, LatencyModel, from pathlib import Path, import numpy as np, import pandas as pd, import run_legacy_mm as R, import time</t>
        </is>
      </c>
      <c r="D34" t="inlineStr">
        <is>
          <t>f"date={date}.parquet"</t>
        </is>
      </c>
      <c r="E34" t="inlineStr">
        <is>
          <t>Diagnostic / Analysis</t>
        </is>
      </c>
      <c r="F34" t="inlineStr">
        <is>
          <t>None</t>
        </is>
      </c>
    </row>
    <row r="35">
      <c r="A35" t="inlineStr">
        <is>
          <t>diag_kappa.py</t>
        </is>
      </c>
      <c r="B35" t="inlineStr">
        <is>
          <t>diagnose the negative-kappa result: (1) what fraction of trades have a RESOLVABLE resting_order_id, (2) what fraction of ORDER_ADDs match a fill, (3) the fill RATE (not intensity) by distance bin -...</t>
        </is>
      </c>
      <c r="C35" t="inlineStr">
        <is>
          <t>from pathlib import Path, import numpy as np, pandas as pd, import run_legacy_mm as R, import sys; sys.path.insert(0,".")</t>
        </is>
      </c>
      <c r="D35" t="inlineStr">
        <is>
          <t>None</t>
        </is>
      </c>
      <c r="E35" t="inlineStr">
        <is>
          <t>Diagnostic / Analysis</t>
        </is>
      </c>
      <c r="F35" t="inlineStr">
        <is>
          <t>None</t>
        </is>
      </c>
    </row>
    <row r="36">
      <c r="A36" t="inlineStr">
        <is>
          <t>diag_markout_recon.py</t>
        </is>
      </c>
      <c r="B36" t="inlineStr">
        <is>
          <t>diag_markout_recon.py -- settle three questions raised by the spot capture/ markout decomposition run: (1) LEVELS: does the run's per-bucket (capture + markout - fees) match the</t>
        </is>
      </c>
      <c r="C36" t="inlineStr">
        <is>
          <t>from pathlib import Path, import mm_harness as H, import numpy as np, import pandas as pd, import run_legacy_mm as R, import time</t>
        </is>
      </c>
      <c r="D36" t="inlineStr">
        <is>
          <t>None</t>
        </is>
      </c>
      <c r="E36" t="inlineStr">
        <is>
          <t>Diagnostic / Analysis</t>
        </is>
      </c>
      <c r="F36" t="inlineStr">
        <is>
          <t>None</t>
        </is>
      </c>
    </row>
    <row r="37">
      <c r="A37" t="inlineStr">
        <is>
          <t>diag_phase_ranges.py</t>
        </is>
      </c>
      <c r="B37" t="inlineStr">
        <is>
          <t>diag_phase_ranges.py -- show each snapshot PHASE's time span per symbol, so we can see (a) whether an after-hours / close-auction phase exists after the main continuous session, and (b) whether CON...</t>
        </is>
      </c>
      <c r="C37" t="inlineStr">
        <is>
          <t>import duckdb, import pandas as pd</t>
        </is>
      </c>
      <c r="D37" t="inlineStr">
        <is>
          <t>"/Users/shazzak/Capital Stake - Parsed/ob_snapshot/date=*/*.parquet"</t>
        </is>
      </c>
      <c r="E37" t="inlineStr">
        <is>
          <t>Diagnostic / Analysis</t>
        </is>
      </c>
      <c r="F37" t="inlineStr">
        <is>
          <t>themselves bleed into that tail (which is why bounding trades by</t>
        </is>
      </c>
    </row>
    <row r="38">
      <c r="A38" t="inlineStr">
        <is>
          <t>diag_scorebps_speed.py</t>
        </is>
      </c>
      <c r="B38" t="inlineStr">
        <is>
          <t>diag_scorebps_speed.py -- find why Path B (score_bps) is ~12s/day. Times the feature-store READ vs the join vs the economics, on ONE naive-PPL day. Run from existing_mm_live/:  python diag_scorebps...</t>
        </is>
      </c>
      <c r="C38" t="inlineStr">
        <is>
          <t>from mm_backtest import Backtester, LatencyModel, NaiveSymmetricMM, from pathlib import Path, import fill_attribution as FA, import numpy as np, import pandas as pd, import persist_fills as PF, import run_legacy_mm as R, import time</t>
        </is>
      </c>
      <c r="D38" t="inlineStr">
        <is>
          <t>f"date={DATE}.parquet"</t>
        </is>
      </c>
      <c r="E38" t="inlineStr">
        <is>
          <t>Diagnostic / Analysis</t>
        </is>
      </c>
      <c r="F38" t="inlineStr">
        <is>
          <t>diag_scorebps_speed.py -- find why Path B (score_bps) is ~12s/day.</t>
        </is>
      </c>
    </row>
    <row r="39">
      <c r="A39" t="inlineStr">
        <is>
          <t>diag_session_lengths.py</t>
        </is>
      </c>
      <c r="B39" t="inlineStr">
        <is>
          <t>confirm the tail is multi-day session-length heterogeneity, not a data leak: show, per day, the continuous session length (minutes) and the first-trade vs continuous-open gap, for one symbol across...</t>
        </is>
      </c>
      <c r="C39" t="inlineStr">
        <is>
          <t>from pathlib import Path, import numpy as np, pandas as pd, import run_legacy_mm as R, import sys; sys.path.insert(0, ".")</t>
        </is>
      </c>
      <c r="D39" t="inlineStr">
        <is>
          <t>None</t>
        </is>
      </c>
      <c r="E39" t="inlineStr">
        <is>
          <t>Diagnostic / Analysis</t>
        </is>
      </c>
      <c r="F39" t="inlineStr">
        <is>
          <t>None</t>
        </is>
      </c>
    </row>
    <row r="40">
      <c r="A40" t="inlineStr">
        <is>
          <t>diag_spread_by_bucket.py</t>
        </is>
      </c>
      <c r="B40" t="inlineStr">
        <is>
          <t>diag_spread_by_bucket.py -- MEASURE, don't assume: what are PSX touch spreads on the top-10 spot names, by session bucket? Answers SZ's question directly: "PSX spreads are typically not that narrow...</t>
        </is>
      </c>
      <c r="C40" t="inlineStr">
        <is>
          <t>from pathlib import Path, import mm_harness as H, import numpy as np, import pandas as pd, import run_legacy_mm as R</t>
        </is>
      </c>
      <c r="D40" t="inlineStr">
        <is>
          <t>None</t>
        </is>
      </c>
      <c r="E40" t="inlineStr">
        <is>
          <t>Diagnostic / Analysis</t>
        </is>
      </c>
      <c r="F40" t="inlineStr">
        <is>
          <t>None</t>
        </is>
      </c>
    </row>
    <row r="41">
      <c r="A41" t="inlineStr">
        <is>
          <t>diag_sweep_speed.py</t>
        </is>
      </c>
      <c r="B41">
        <f>=========================================================================== diag_sweep_speed.py -- find WHY each backtest is slow. Times one symbol-day's stages, audits event-stream dtypes (the da...</f>
        <v/>
      </c>
      <c r="C41" t="inlineStr">
        <is>
          <t>from micro_mm import MicrostructureMM, from mm_backtest import Backtester, LatencyModel, from pathlib import Path, import fill_attribution as FA, import numpy as np, import pandas as pd, import persist_fills as PF, import run_legacy_mm as R, import time</t>
        </is>
      </c>
      <c r="D41" t="inlineStr">
        <is>
          <t>f"date={DATE}.parquet"</t>
        </is>
      </c>
      <c r="E41" t="inlineStr">
        <is>
          <t>Sweep / Experiment</t>
        </is>
      </c>
      <c r="F41" t="inlineStr">
        <is>
          <t>diag_sweep_speed.py -- find WHY each backtest is slow. Times one symbol-day's | stages, audits event-stream dtypes (the datetime-object-cast hypothesis), and</t>
        </is>
      </c>
    </row>
    <row r="42">
      <c r="A42" t="inlineStr">
        <is>
          <t>diag_sweep_tail.py</t>
        </is>
      </c>
      <c r="B42" t="inlineStr">
        <is>
          <t>diag_sweep_tail.py -- find out what the 360-430 min sweep tail REALLY is. The phase diagnostic showed CONTINUOUS_AUCTION ends 15:29:59 and after-hours is only 15:35-15:48 (~13 min) -- too short to ...</t>
        </is>
      </c>
      <c r="C42" t="inlineStr">
        <is>
          <t>from pathlib import Path, import numpy as np, import pandas as pd, import run_legacy_mm as R, import sys</t>
        </is>
      </c>
      <c r="D42" t="inlineStr">
        <is>
          <t>None</t>
        </is>
      </c>
      <c r="E42" t="inlineStr">
        <is>
          <t>Sweep / Experiment</t>
        </is>
      </c>
      <c r="F42" t="inlineStr">
        <is>
          <t>None</t>
        </is>
      </c>
    </row>
    <row r="43">
      <c r="A43" t="inlineStr">
        <is>
          <t>diagnose_aggressor_key.py</t>
        </is>
      </c>
      <c r="B43" t="inlineStr">
        <is>
          <t>diagnose_aggressor_key.py -- figure out which field identifies an aggressor order, so the sweep-depth grouping is correct. Run from anywhere. We suspect `initiator` is NOT the per-order aggressor i...</t>
        </is>
      </c>
      <c r="C43" t="inlineStr">
        <is>
          <t>import duckdb, import pandas as pd</t>
        </is>
      </c>
      <c r="D43" t="inlineStr">
        <is>
          <t>"/Users/shazzak/Capital Stake - Parsed/trades/date=*/*.parquet"</t>
        </is>
      </c>
      <c r="E43" t="inlineStr">
        <is>
          <t>Diagnostic / Analysis</t>
        </is>
      </c>
      <c r="F43" t="inlineStr">
        <is>
          <t>None</t>
        </is>
      </c>
    </row>
    <row r="44">
      <c r="A44" t="inlineStr">
        <is>
          <t>diagnose_reconciliation.py</t>
        </is>
      </c>
      <c r="B44" t="inlineStr">
        <is>
          <t>diagnose_reconciliation.py -- find and dissect the worst-reconciling symbol-day so we can SEE where FIFO-attributed realized P&amp;L diverges from the engine's own cash accounting. Scans the top-10 nam...</t>
        </is>
      </c>
      <c r="C44" t="inlineStr">
        <is>
          <t>from mm_backtest import fee_for, from pathlib import Path, import mm_harness as H, import numpy as np, import pandas as pd, import run_legacy_mm as R, import time</t>
        </is>
      </c>
      <c r="D44" t="inlineStr">
        <is>
          <t>None</t>
        </is>
      </c>
      <c r="E44" t="inlineStr">
        <is>
          <t>Diagnostic / Analysis</t>
        </is>
      </c>
      <c r="F44" t="inlineStr">
        <is>
          <t>None</t>
        </is>
      </c>
    </row>
    <row r="45">
      <c r="A45" t="inlineStr">
        <is>
          <t>eod_pos_summary.py</t>
        </is>
      </c>
      <c r="B45" t="inlineStr">
        <is>
          <t>eod_pos_summary.py -- the decisive check the terminal P&amp;L can't give: did the skew fix move TERMINAL INVENTORY, or is it inert on position too? Pre-fix baseline (from the diagnosis, me=0.0005):</t>
        </is>
      </c>
      <c r="C45" t="inlineStr">
        <is>
          <t>from pathlib import Path, import pandas as pd</t>
        </is>
      </c>
      <c r="D45" t="inlineStr">
        <is>
          <t>"eod_positions.csv"</t>
        </is>
      </c>
      <c r="E45" t="inlineStr">
        <is>
          <t>Utility / Support</t>
        </is>
      </c>
      <c r="F45" t="inlineStr">
        <is>
          <t>None</t>
        </is>
      </c>
    </row>
    <row r="46">
      <c r="A46" t="inlineStr">
        <is>
          <t>explore_futures.py</t>
        </is>
      </c>
      <c r="B46" t="inlineStr">
        <is>
          <t>explore_futures.py -- LEARN the futures data before building any arb backtest. Read-only DuckDB queries against the parsed store. Safe to run alongside other jobs. Answers: what markets exist, whic...</t>
        </is>
      </c>
      <c r="C46" t="inlineStr">
        <is>
          <t>from pathlib import Path, import duckdb, import pandas as pd</t>
        </is>
      </c>
      <c r="D46" t="inlineStr">
        <is>
          <t>f"{PARSED}/ob_snapshot/date=*/*.parquet", f"{PARSED}/ob_updates/date=*/*.parquet", f"{PARSED}/trades/date=*/*.parquet"</t>
        </is>
      </c>
      <c r="E46" t="inlineStr">
        <is>
          <t>Futures Market Making</t>
        </is>
      </c>
      <c r="F46" t="inlineStr">
        <is>
          <t>None</t>
        </is>
      </c>
    </row>
    <row r="47">
      <c r="A47" t="inlineStr">
        <is>
          <t>fifo_holdtime_diag.py</t>
        </is>
      </c>
      <c r="B47">
        <f>=========================================================================== fifo_holdtime_diag.py ----------------------------------------------------------------------------</f>
        <v/>
      </c>
      <c r="C47" t="inlineStr">
        <is>
          <t>from datetime import datetime, from multiprocessing import Pool, from pathlib import Path, import argparse, import matplotlib, import matplotlib.pyplot as plt, import numpy as np, import pandas as pd, import time</t>
        </is>
      </c>
      <c r="D47" t="inlineStr">
        <is>
          <t>"fifo_holdtime_curve.csv", "fifo_holdtime_pername_day.csv", to_csv</t>
        </is>
      </c>
      <c r="E47" t="inlineStr">
        <is>
          <t>Utility / Support</t>
        </is>
      </c>
      <c r="F47" t="inlineStr">
        <is>
          <t>None</t>
        </is>
      </c>
    </row>
    <row r="48">
      <c r="A48" t="inlineStr">
        <is>
          <t>fill_attribution.py</t>
        </is>
      </c>
      <c r="B48" t="inlineStr">
        <is>
          <t>fill_attribution.py Fee-aware fill-level markout attribution for the PSX market-making backtest. Per fill:  net_bps = capture(+half-spread) + markout(adverse selection) - round-trip fee</t>
        </is>
      </c>
      <c r="C48" t="inlineStr">
        <is>
          <t>import halt_state as HS, import numpy as np, import pandas as pd</t>
        </is>
      </c>
      <c r="D48" t="inlineStr">
        <is>
          <t>".parquet", "/Users/shazzak/Capital Stake - Parsed/misc/date=*/*.parquet", "attribution_by_regime.csv", "attribution_overall.csv", "date=*.parquet", "date=YYYY-MM-DD.parquet", f"\nsaved: {fills_dir}/*.parquet, attribution_overall.csv, attribution_by_regime.csv", f"{FILLS_ROOT}/{strategy}/{sym}/date={dt}.parquet", f"{strategy}_{sym}_{dt}.parquet", to_csv</t>
        </is>
      </c>
      <c r="E48" t="inlineStr">
        <is>
          <t>Analytics / Attribution</t>
        </is>
      </c>
      <c r="F48" t="inlineStr">
        <is>
          <t>None</t>
        </is>
      </c>
    </row>
    <row r="49">
      <c r="A49" t="inlineStr">
        <is>
          <t>fills_to_csv.py</t>
        </is>
      </c>
      <c r="B49" t="inlineStr">
        <is>
          <t>fills_to_csv.py -- combine fill parquet files into CSVs for Tableau, STREAMING so memory never holds more than one batch (safe on many-GB data). Processes BOTH fill sources by default, writing ONE ...</t>
        </is>
      </c>
      <c r="C49" t="inlineStr">
        <is>
          <t>from config import FILLS_DIR, FILLS_RAW_DIR, EXPORT_DIR, import csv, import glob, import os, import pyarrow.parquet as pq, import sys, import time</t>
        </is>
      </c>
      <c r="D49" t="inlineStr">
        <is>
          <t>"*.parquet", ".parquet", "fills_attribution.csv", "fills_raw.csv", to_csv</t>
        </is>
      </c>
      <c r="E49" t="inlineStr">
        <is>
          <t>Data Pipeline / Extractor</t>
        </is>
      </c>
      <c r="F49" t="inlineStr">
        <is>
          <t>None</t>
        </is>
      </c>
    </row>
    <row r="50">
      <c r="A50" t="inlineStr">
        <is>
          <t>flow_throttle_sweep.py</t>
        </is>
      </c>
      <c r="B50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50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50" t="inlineStr">
        <is>
          <t>f"flow_throttle_sweep_DAILY_{stamp}.csv", f"flow_throttle_sweep_PERNAME_{stamp}.csv", f"flow_throttle_sweep_{stamp}.csv", to_csv</t>
        </is>
      </c>
      <c r="E50" t="inlineStr">
        <is>
          <t>Sweep / Experiment</t>
        </is>
      </c>
      <c r="F50" t="inlineStr">
        <is>
          <t>THE HYPOTHESIS (stated so the data can refute it): median hold of 4-6 minutes</t>
        </is>
      </c>
    </row>
    <row r="51">
      <c r="A51" t="inlineStr">
        <is>
          <t>futures_carry_hedge_run.py</t>
        </is>
      </c>
      <c r="B51" t="inlineStr">
        <is>
          <t>futures_carry_hedge_run.py -- FUTURES MM with OVERNIGHT CARRY + EOD SPOT HEDGE. Replaces the daily-flatten futures backtest (which charged an unclean-close haircut EVERY day -- a spot assumption, w...</t>
        </is>
      </c>
      <c r="C51" t="inlineStr">
        <is>
          <t>from collections import deque, from datetime import datetime, from micro_mm import MicrostructureMM, from mm_backtest import Backtester, LatencyModel, from pathlib import Path, import confirm_micro_vs_naive as C, import futures_mm_run as F, import micro_mm as MM, import mm_backtest as MB, import numpy as np, import pandas as pd, import run_legacy_mm as R, import time</t>
        </is>
      </c>
      <c r="D51" t="inlineStr">
        <is>
          <t>f"fut_carry_daily_{stamp}.csv", f"fut_carry_spans_{stamp}.csv", to_csv</t>
        </is>
      </c>
      <c r="E51" t="inlineStr">
        <is>
          <t>Futures Market Making</t>
        </is>
      </c>
      <c r="F51" t="inlineStr">
        <is>
          <t>None</t>
        </is>
      </c>
    </row>
    <row r="52">
      <c r="A52" t="inlineStr">
        <is>
          <t>futures_mm_run.py</t>
        </is>
      </c>
      <c r="B52" t="inlineStr">
        <is>
          <t>futures_mm_run.py -- MARKET-MAKING THE PSX DELIVERY FUTURES (DFC). The probes established: identical event vocabulary to spot (build_events/Book reuse directly), tick=0.01, lot=500 (always), active...</t>
        </is>
      </c>
      <c r="C52" t="inlineStr">
        <is>
          <t>from datetime import datetime, from micro_mm import MicrostructureMM, from mm_backtest import Backtester, LatencyModel, from pathlib import Path, import confirm_micro_vs_naive as C, import duckdb, import micro_mm as MM, import mm_backtest as MB, import numpy as np, import pandas as pd, import run_legacy_mm as R, import time</t>
        </is>
      </c>
      <c r="D52" t="inlineStr">
        <is>
          <t>"session_segments_*.csv", f"date={date}.parquet", f"futures_mm_daily_{stamp}.csv", f"futures_mm_summary_{stamp}.csv", to_csv</t>
        </is>
      </c>
      <c r="E52" t="inlineStr">
        <is>
          <t>Futures Market Making</t>
        </is>
      </c>
      <c r="F52" t="inlineStr">
        <is>
          <t>None</t>
        </is>
      </c>
    </row>
    <row r="53">
      <c r="A53" t="inlineStr">
        <is>
          <t>futures_sameday_flatten_run.py</t>
        </is>
      </c>
      <c r="B53" t="inlineStr">
        <is>
          <t>futures_sameday_flatten_run.py -- FUTURES MM with SAME-DAY FLATTEN + residual spot hedge. Tests SZ's liquidity thesis: a liquid instrument lets you complete round trips intraday (flatten at the clo...</t>
        </is>
      </c>
      <c r="C53" t="inlineStr">
        <is>
          <t>from collections import deque, from datetime import datetime, from micro_mm import MicrostructureMM, from mm_backtest import Backtester, LatencyModel, from pathlib import Path, import confirm_micro_vs_naive as C, import futures_carry_hedge_run as CH, import futures_mm_run as F, import micro_mm as MM, import mm_backtest as MB, import numpy as np, import pandas as pd, import run_legacy_mm as R, import time</t>
        </is>
      </c>
      <c r="D53" t="inlineStr">
        <is>
          <t>f"fut_sameday_daily_{stamp}.csv", f"fut_sameday_spans_{stamp}.csv", to_csv</t>
        </is>
      </c>
      <c r="E53" t="inlineStr">
        <is>
          <t>Futures Market Making</t>
        </is>
      </c>
      <c r="F53" t="inlineStr">
        <is>
          <t>None</t>
        </is>
      </c>
    </row>
    <row r="54">
      <c r="A54" t="inlineStr">
        <is>
          <t>futures_top20.py</t>
        </is>
      </c>
      <c r="B54" t="inlineStr">
        <is>
          <t>futures_top20.py -- FIX for the broken top-20 query: trades/min across all futures names in the most recent full month, to pick the tradeable universe. Read-only. Run:  python futures_top20.py</t>
        </is>
      </c>
      <c r="C54" t="inlineStr">
        <is>
          <t>from pathlib import Path, import duckdb, pandas as pd</t>
        </is>
      </c>
      <c r="D54" t="inlineStr">
        <is>
          <t>f"{PARSED}/trades/date=*/*.parquet"</t>
        </is>
      </c>
      <c r="E54" t="inlineStr">
        <is>
          <t>Futures Market Making</t>
        </is>
      </c>
      <c r="F54" t="inlineStr">
        <is>
          <t>None</t>
        </is>
      </c>
    </row>
    <row r="55">
      <c r="A55" t="inlineStr">
        <is>
          <t>futures_trade_intensity.py</t>
        </is>
      </c>
      <c r="B55" t="inlineStr">
        <is>
          <t>futures_trade_intensity.py -- how much would we actually TRADE on the active futures? trades/min tells us the fill opportunity (and thus P&amp;L potential). Also compute the proprietary DFC round-trip ...</t>
        </is>
      </c>
      <c r="C55" t="inlineStr">
        <is>
          <t>from pathlib import Path, import duckdb, pandas as pd, numpy as np</t>
        </is>
      </c>
      <c r="D55" t="inlineStr">
        <is>
          <t>f"{PARSED}/trades/date=*/*.parquet"</t>
        </is>
      </c>
      <c r="E55" t="inlineStr">
        <is>
          <t>Futures Market Making</t>
        </is>
      </c>
      <c r="F55" t="inlineStr">
        <is>
          <t>None</t>
        </is>
      </c>
    </row>
    <row r="56">
      <c r="A56" t="inlineStr">
        <is>
          <t>halt_state.py</t>
        </is>
      </c>
      <c r="B56" t="inlineStr">
        <is>
          <t>halt_state.py Single source of truth for PSX trading-state classification, shared by the backtest and the live trader so both apply identical rules.</t>
        </is>
      </c>
      <c r="C56" t="inlineStr">
        <is>
          <t>import math</t>
        </is>
      </c>
      <c r="D56" t="inlineStr">
        <is>
          <t>None</t>
        </is>
      </c>
      <c r="E56" t="inlineStr">
        <is>
          <t>Configuration / Core Scaffolding</t>
        </is>
      </c>
      <c r="F56" t="inlineStr">
        <is>
          <t>None</t>
        </is>
      </c>
    </row>
    <row r="57">
      <c r="A57" t="inlineStr">
        <is>
          <t>iceberg_detect.py</t>
        </is>
      </c>
      <c r="B57">
        <f>=========================================================================== iceberg_detect.py -- iceberg / hidden-refill detector. Rides the ALREADY-reconstructed order book (mm_backtest.Book, dri...</f>
        <v/>
      </c>
      <c r="C57" t="inlineStr">
        <is>
          <t>from datetime import datetime, from multiprocessing import Pool, from pathlib import Path, import argparse, import numpy as np, import pandas as pd, import time</t>
        </is>
      </c>
      <c r="D57" t="inlineStr">
        <is>
          <t>"iceberg_detect_pername.csv", "iceberg_detect_pername_day.csv", to_csv</t>
        </is>
      </c>
      <c r="E57" t="inlineStr">
        <is>
          <t>Utility / Support</t>
        </is>
      </c>
      <c r="F57" t="inlineStr">
        <is>
          <t>None</t>
        </is>
      </c>
    </row>
    <row r="58">
      <c r="A58" t="inlineStr">
        <is>
          <t>iceberg_feasibility.py</t>
        </is>
      </c>
      <c r="B58">
        <f>=========================================================================== iceberg_feasibility.py -- 10-second check: can we detect icebergs by order-id, or must we fall back to swept-vs-visible-...</f>
        <v/>
      </c>
      <c r="C58" t="inlineStr">
        <is>
          <t>from datetime import datetime, import argparse, import numpy as np, import pandas as pd</t>
        </is>
      </c>
      <c r="D58" t="inlineStr">
        <is>
          <t>None</t>
        </is>
      </c>
      <c r="E58" t="inlineStr">
        <is>
          <t>Utility / Support</t>
        </is>
      </c>
      <c r="F58" t="inlineStr">
        <is>
          <t>None</t>
        </is>
      </c>
    </row>
    <row r="59">
      <c r="A59" t="inlineStr">
        <is>
          <t>iceberg_sanity.py</t>
        </is>
      </c>
      <c r="B59">
        <f>=========================================================================== iceberg_sanity.py -- does M1/M2 "absorption" hold price, or was the depth illusory? For every sweep we record the post-s...</f>
        <v/>
      </c>
      <c r="C59" t="inlineStr">
        <is>
          <t>from datetime import datetime, from multiprocessing import Pool, from pathlib import Path, import argparse, import numpy as np, import pandas as pd, import time</t>
        </is>
      </c>
      <c r="D59" t="inlineStr">
        <is>
          <t>"iceberg_sanity_sweeps.csv", to_csv</t>
        </is>
      </c>
      <c r="E59" t="inlineStr">
        <is>
          <t>Diagnostic / Analysis</t>
        </is>
      </c>
      <c r="F59" t="inlineStr">
        <is>
          <t>None</t>
        </is>
      </c>
    </row>
    <row r="60">
      <c r="A60" t="inlineStr">
        <is>
          <t>inspect_fills_schema.py</t>
        </is>
      </c>
      <c r="B60" t="inlineStr">
        <is>
          <t>inspect_fills_schema.py -- does the on-disk fills parquet already carry a fill-instant mid (mid / bb / ba)? If so, zeroing the decomposition residual is a one-line change (read the stored mid inste...</t>
        </is>
      </c>
      <c r="C60" t="inlineStr">
        <is>
          <t>import duckdb, import pandas as pd</t>
        </is>
      </c>
      <c r="D60" t="inlineStr">
        <is>
          <t>"fills/naive/UBL/date=2025-09-01.parquet"</t>
        </is>
      </c>
      <c r="E60" t="inlineStr">
        <is>
          <t>Utility / Support</t>
        </is>
      </c>
      <c r="F60" t="inlineStr">
        <is>
          <t>None</t>
        </is>
      </c>
    </row>
    <row r="61">
      <c r="A61" t="inlineStr">
        <is>
          <t>inv_profile_diag.py</t>
        </is>
      </c>
      <c r="B61">
        <f>=========================================================================== inv_profile_diag.py ----------------------------------------------------------------------------</f>
        <v/>
      </c>
      <c r="C61" t="inlineStr">
        <is>
          <t>from datetime import datetime, from multiprocessing import Pool, from pathlib import Path, import argparse, import matplotlib, import matplotlib.pyplot as plt, import numpy as np, import pandas as pd, import time</t>
        </is>
      </c>
      <c r="D61" t="inlineStr">
        <is>
          <t>"inv_profile_pername.csv", "inv_profile_pername_day.csv", to_csv</t>
        </is>
      </c>
      <c r="E61" t="inlineStr">
        <is>
          <t>Calibration / Pre-computation</t>
        </is>
      </c>
      <c r="F61" t="inlineStr">
        <is>
          <t>None</t>
        </is>
      </c>
    </row>
    <row r="62">
      <c r="A62" t="inlineStr">
        <is>
          <t>jump_signal_validation.py</t>
        </is>
      </c>
      <c r="B62" t="inlineStr">
        <is>
          <t>jump_signal_validation.py -- v2: does any LEADING microstructure feature spike BEFORE a price jump on PSX? Rewritten to read the FEATURE STORE's already-built, event-resolution features (ofi_l1, qd...</t>
        </is>
      </c>
      <c r="C62" t="inlineStr">
        <is>
          <t>from datetime import datetime, from pathlib import Path, import numpy as np, import pandas as pd, import time</t>
        </is>
      </c>
      <c r="D62" t="inlineStr">
        <is>
          <t>"date=*.parquet", f"date={date}.parquet", f"jump_leads_{stamp}.csv", to_csv</t>
        </is>
      </c>
      <c r="E62" t="inlineStr">
        <is>
          <t>Utility / Support</t>
        </is>
      </c>
      <c r="F62" t="inlineStr">
        <is>
          <t>None</t>
        </is>
      </c>
    </row>
    <row r="63">
      <c r="A63" t="inlineStr">
        <is>
          <t>kyle_lambda.py</t>
        </is>
      </c>
      <c r="B63">
        <f>=========================================================================== kyle_lambda.py -- estimate Kyle's lambda (price-impact / illiquidity) for all 38 names from the feature store. Kyle (198...</f>
        <v/>
      </c>
      <c r="C63" t="inlineStr">
        <is>
          <t>from datetime import datetime, from pathlib import Path, import numpy as np, import pandas as pd, import run_legacy_mm as R, import time</t>
        </is>
      </c>
      <c r="D63" t="inlineStr">
        <is>
          <t>f"date={d}.parquet", f"kyle_lambda_{lab}_daily_{stamp}.csv", f"kyle_lambda_{lab}_{stamp}.csv", to_csv</t>
        </is>
      </c>
      <c r="E63" t="inlineStr">
        <is>
          <t>Analytics / Attribution</t>
        </is>
      </c>
      <c r="F63" t="inlineStr">
        <is>
          <t>None</t>
        </is>
      </c>
    </row>
    <row r="64">
      <c r="A64" t="inlineStr">
        <is>
          <t>latency_sweep.py</t>
        </is>
      </c>
      <c r="B64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64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64" t="inlineStr">
        <is>
          <t>f"latency_sweep_DAILY_{stamp}.csv", f"latency_sweep_PERNAME_{stamp}.csv", f"latency_sweep_{stamp}.csv", to_csv</t>
        </is>
      </c>
      <c r="E64" t="inlineStr">
        <is>
          <t>Sweep / Experiment</t>
        </is>
      </c>
      <c r="F64" t="inlineStr">
        <is>
          <t>THE HYPOTHESIS (stated so the data can refute it): median hold of 4-6 minutes</t>
        </is>
      </c>
    </row>
    <row r="65">
      <c r="A65" t="inlineStr">
        <is>
          <t>lean_vs_lambda.py</t>
        </is>
      </c>
      <c r="B65">
        <f>=========================================================================== lean_vs_lambda.py -- PRE-REGISTERED payoff test for the microprice defensive lean. Question: does leaning defensively (l...</f>
        <v/>
      </c>
      <c r="C65" t="inlineStr">
        <is>
          <t>from datetime import datetime, from pathlib import Path, from scipy import stats, import matplotlib, import matplotlib.pyplot as plt, import numpy as np, import pandas as pd, import sys</t>
        </is>
      </c>
      <c r="D65" t="inlineStr">
        <is>
          <t>f"lean_vs_lambda_{stamp}.csv", to_csv</t>
        </is>
      </c>
      <c r="E65" t="inlineStr">
        <is>
          <t>Utility / Support</t>
        </is>
      </c>
      <c r="F65" t="inlineStr">
        <is>
          <t>None</t>
        </is>
      </c>
    </row>
    <row r="66">
      <c r="A66" t="inlineStr">
        <is>
          <t>lock_activation_diag.py</t>
        </is>
      </c>
      <c r="B66" t="inlineStr">
        <is>
          <t>lock_activation_diag.py -- WHY does the lock trigger fire so often on names that rarely lock? Replays the EXACT lock-zone math from micro_mm._trigger_state over each continuous two-sided book snaps...</t>
        </is>
      </c>
      <c r="C66" t="inlineStr">
        <is>
          <t>from micro_mm import (LOCK_START_FRAC, LOCK_START_MIN_SPR, LOCK_START_MAX_SPR,, from pathlib import Path, import matplotlib, import matplotlib.pyplot as plt, import numpy as np, import pandas as pd, import run_legacy_mm as R, import time</t>
        </is>
      </c>
      <c r="D66" t="inlineStr">
        <is>
          <t>None</t>
        </is>
      </c>
      <c r="E66" t="inlineStr">
        <is>
          <t>Utility / Support</t>
        </is>
      </c>
      <c r="F66" t="inlineStr">
        <is>
          <t>lock_activation_diag.py -- WHY does the lock trigger fire so often on names that | Hypothesis under test: the trigger uses spread-units, so when the spread WIDENS</t>
        </is>
      </c>
    </row>
    <row r="67">
      <c r="A67" t="inlineStr">
        <is>
          <t>lock_approach.py</t>
        </is>
      </c>
      <c r="B67" t="inlineStr">
        <is>
          <t>lock_approach.py -- two measurements that set the cliff design from data, not guess: (1) BAND-IN-SPREADS per symbol: (limit_up - limit_dn) / (2 * median spread). This is the "runway" from mid-band ...</t>
        </is>
      </c>
      <c r="C67" t="inlineStr">
        <is>
          <t>from pathlib import Path, import matplotlib, import matplotlib.pyplot as plt, import numpy as np, import pandas as pd, import run_legacy_mm as R, import time</t>
        </is>
      </c>
      <c r="D67" t="inlineStr">
        <is>
          <t>None</t>
        </is>
      </c>
      <c r="E67" t="inlineStr">
        <is>
          <t>Utility / Support</t>
        </is>
      </c>
      <c r="F67" t="inlineStr">
        <is>
          <t>None</t>
        </is>
      </c>
    </row>
    <row r="68">
      <c r="A68" t="inlineStr">
        <is>
          <t>lock_confirm.py</t>
        </is>
      </c>
      <c r="B68" t="inlineStr">
        <is>
          <t>lock_confirm.py -- are the one-sided-close days actually LOCKS (price pinned at the +/-10% band) and, if so, is the loss concentrated in the TRAPPED-sign subset (short into limit-up / long into lim...</t>
        </is>
      </c>
      <c r="C68" t="inlineStr">
        <is>
          <t>from mm_backtest import Book, from pathlib import Path, import numpy as np, import pandas as pd, import run_legacy_mm as R, import time</t>
        </is>
      </c>
      <c r="D68" t="inlineStr">
        <is>
          <t>"eod_positions.csv", "no days processed -- check dates match eod_positions.csv"</t>
        </is>
      </c>
      <c r="E68" t="inlineStr">
        <is>
          <t>Utility / Support</t>
        </is>
      </c>
      <c r="F68" t="inlineStr">
        <is>
          <t>None</t>
        </is>
      </c>
    </row>
    <row r="69">
      <c r="A69" t="inlineStr">
        <is>
          <t>lock_distance_plot.py</t>
        </is>
      </c>
      <c r="B69" t="inlineStr">
        <is>
          <t>lock_distance_plot.py -- HOW MANY SPREADS is price from the 10% lock, over a day, and WHEN does it breach the trigger threshold -- comparing two ways to measure it: * INSTANTANEOUS spread as the ya...</t>
        </is>
      </c>
      <c r="C69" t="inlineStr">
        <is>
          <t>from collections import deque, from pathlib import Path, import matplotlib, import matplotlib.pyplot as plt, import numpy as np, import pandas as pd, import run_legacy_mm as R</t>
        </is>
      </c>
      <c r="D69" t="inlineStr">
        <is>
          <t>None</t>
        </is>
      </c>
      <c r="E69" t="inlineStr">
        <is>
          <t>Utility / Support</t>
        </is>
      </c>
      <c r="F69" t="inlineStr">
        <is>
          <t>None</t>
        </is>
      </c>
    </row>
    <row r="70">
      <c r="A70" t="inlineStr">
        <is>
          <t>lock_screener.py</t>
        </is>
      </c>
      <c r="B70" t="inlineStr">
        <is>
          <t>lock_screener.py -- pick a thin/locky third name that will actually EXERCISE the time-to-close and distance-to-lock triggers. For each watchlist symbol it counts, from raw snapshots (no book recons...</t>
        </is>
      </c>
      <c r="C70" t="inlineStr">
        <is>
          <t>from pathlib import Path, import numpy as np, import pandas as pd, import run_legacy_mm as R, import time</t>
        </is>
      </c>
      <c r="D70" t="inlineStr">
        <is>
          <t>"/Users/shazzak/Capital Stake - Results/mm_watchlist_final.csv"</t>
        </is>
      </c>
      <c r="E70" t="inlineStr">
        <is>
          <t>Utility / Support</t>
        </is>
      </c>
      <c r="F70" t="inlineStr">
        <is>
          <t>None</t>
        </is>
      </c>
    </row>
    <row r="71">
      <c r="A71" t="inlineStr">
        <is>
          <t>markout_horizon_diag.py</t>
        </is>
      </c>
      <c r="B71">
        <f>=========================================================================== markout_horizon_diag.py ----------------------------------------------------------------------------</f>
        <v/>
      </c>
      <c r="C71" t="inlineStr">
        <is>
          <t>from datetime import datetime, from multiprocessing import Pool, from pathlib import Path, import argparse, import matplotlib, import matplotlib.pyplot as plt, import numpy as np, import pandas as pd, import time</t>
        </is>
      </c>
      <c r="D71" t="inlineStr">
        <is>
          <t>"markout_horizon_curve.csv", "markout_horizon_pername_day.csv", to_csv</t>
        </is>
      </c>
      <c r="E71" t="inlineStr">
        <is>
          <t>Analytics / Attribution</t>
        </is>
      </c>
      <c r="F71" t="inlineStr">
        <is>
          <t>WHY: the sweeps score adverse selection at 5s, but the middle-bucket mean hold</t>
        </is>
      </c>
    </row>
    <row r="72">
      <c r="A72" t="inlineStr">
        <is>
          <t>micro_mm.py</t>
        </is>
      </c>
      <c r="B72" t="inlineStr">
        <is>
          <t>import math from collections import deque from mm_backtest import FEE_TOTAL_PCT</t>
        </is>
      </c>
      <c r="C72" t="inlineStr">
        <is>
          <t>from collections import deque, from mm_backtest import FEE_TOTAL_PCT, import math</t>
        </is>
      </c>
      <c r="D72" t="inlineStr">
        <is>
          <t>None</t>
        </is>
      </c>
      <c r="E72" t="inlineStr">
        <is>
          <t>Live Quoting Engine / Strategy</t>
        </is>
      </c>
      <c r="F72" t="inlineStr">
        <is>
          <t>None</t>
        </is>
      </c>
    </row>
    <row r="73">
      <c r="A73" t="inlineStr">
        <is>
          <t>micro_mm_ 20260828.py</t>
        </is>
      </c>
      <c r="B73" t="inlineStr">
        <is>
          <t>import math from collections import deque from mm_backtest import FEE_TOTAL_PCT</t>
        </is>
      </c>
      <c r="C73" t="inlineStr">
        <is>
          <t>from collections import deque, from mm_backtest import FEE_TOTAL_PCT, import math</t>
        </is>
      </c>
      <c r="D73" t="inlineStr">
        <is>
          <t>None</t>
        </is>
      </c>
      <c r="E73" t="inlineStr">
        <is>
          <t>Live Quoting Engine / Strategy</t>
        </is>
      </c>
      <c r="F73" t="inlineStr">
        <is>
          <t>None</t>
        </is>
      </c>
    </row>
    <row r="74">
      <c r="A74" t="inlineStr">
        <is>
          <t>micro_mm_20260830 PreChange.py</t>
        </is>
      </c>
      <c r="B74" t="inlineStr">
        <is>
          <t>import math from collections import deque from mm_backtest import FEE_TOTAL_PCT</t>
        </is>
      </c>
      <c r="C74" t="inlineStr">
        <is>
          <t>from collections import deque, from mm_backtest import FEE_TOTAL_PCT, import math</t>
        </is>
      </c>
      <c r="D74" t="inlineStr">
        <is>
          <t>None</t>
        </is>
      </c>
      <c r="E74" t="inlineStr">
        <is>
          <t>Live Quoting Engine / Strategy</t>
        </is>
      </c>
      <c r="F74" t="inlineStr">
        <is>
          <t>None</t>
        </is>
      </c>
    </row>
    <row r="75">
      <c r="A75" t="inlineStr">
        <is>
          <t>micro_mm_20260830.py</t>
        </is>
      </c>
      <c r="B75" t="inlineStr">
        <is>
          <t>import math from collections import deque from mm_backtest import FEE_TOTAL_PCT</t>
        </is>
      </c>
      <c r="C75" t="inlineStr">
        <is>
          <t>from collections import deque, from mm_backtest import FEE_TOTAL_PCT, import math</t>
        </is>
      </c>
      <c r="D75" t="inlineStr">
        <is>
          <t>None</t>
        </is>
      </c>
      <c r="E75" t="inlineStr">
        <is>
          <t>Live Quoting Engine / Strategy</t>
        </is>
      </c>
      <c r="F75" t="inlineStr">
        <is>
          <t>None</t>
        </is>
      </c>
    </row>
    <row r="76">
      <c r="A76" t="inlineStr">
        <is>
          <t>mm_backtest.py</t>
        </is>
      </c>
      <c r="B76">
        <f>=========================================================================== mm_backtest.py — Event-driven market-making backtester for PSX order data ==============================================...</f>
        <v/>
      </c>
      <c r="C76" t="inlineStr">
        <is>
          <t>from dataclasses import dataclass, import ast        # parses the stringified tuple in trades.resting_order_id, import heapq      # priority queue for our in-flight orders/cancels, import numpy as np, import pandas as pd</t>
        </is>
      </c>
      <c r="D76" t="inlineStr">
        <is>
          <t>None</t>
        </is>
      </c>
      <c r="E76" t="inlineStr">
        <is>
          <t>Backtest Engine</t>
        </is>
      </c>
      <c r="F76" t="inlineStr">
        <is>
          <t>None</t>
        </is>
      </c>
    </row>
    <row r="77">
      <c r="A77" t="inlineStr">
        <is>
          <t>mm_backtest_20260828.py</t>
        </is>
      </c>
      <c r="B77">
        <f>=========================================================================== mm_backtest.py — Event-driven market-making backtester for PSX order data ==============================================...</f>
        <v/>
      </c>
      <c r="C77" t="inlineStr">
        <is>
          <t>from dataclasses import dataclass, import ast        # parses the stringified tuple in trades.resting_order_id, import heapq      # priority queue for our in-flight orders/cancels, import numpy as np, import pandas as pd</t>
        </is>
      </c>
      <c r="D77" t="inlineStr">
        <is>
          <t>None</t>
        </is>
      </c>
      <c r="E77" t="inlineStr">
        <is>
          <t>Diagnostic / Analysis</t>
        </is>
      </c>
      <c r="F77" t="inlineStr">
        <is>
          <t>None</t>
        </is>
      </c>
    </row>
    <row r="78">
      <c r="A78" t="inlineStr">
        <is>
          <t>mm_harness.py</t>
        </is>
      </c>
      <c r="B78">
        <f>=========================================================================== mm_harness.py -- SHARED PRODUCTION HARNESS for all MM backtest analysis. ===============================================...</f>
        <v/>
      </c>
      <c r="C78" t="inlineStr">
        <is>
          <t>from collections import deque, from micro_mm import MicrostructureMM, from mm_backtest import Backtester, LatencyModel, NaiveSymmetricMM, fee_for, from pathlib import Path, import confirm_micro_vs_naive as C, import numpy as np, import pandas as pd, import persist_fills as PF, import run_legacy_mm as R, import time</t>
        </is>
      </c>
      <c r="D78" t="inlineStr">
        <is>
          <t>"session_scales_*.csv", "session_segments_*.csv", "time_windows_*.csv", "volume_profile_*.csv", f"date={date}.parquet"</t>
        </is>
      </c>
      <c r="E78" t="inlineStr">
        <is>
          <t>Runner / Harness</t>
        </is>
      </c>
      <c r="F78" t="inlineStr">
        <is>
          <t>None</t>
        </is>
      </c>
    </row>
    <row r="79">
      <c r="A79" t="inlineStr">
        <is>
          <t>multi_sym.py</t>
        </is>
      </c>
      <c r="B79" t="inlineStr">
        <is>
          <t>Batch per-symbol MM analysis: spreads, fee-grid ceilings, adverse selection. One row per (symbol, day). Reads the three per-symbol CSVs, and returns a dict of descriptive stats, profit ceilings acr...</t>
        </is>
      </c>
      <c r="C79" t="inlineStr">
        <is>
          <t>import glob, import numpy as np, pandas as pd</t>
        </is>
      </c>
      <c r="D79" t="inlineStr">
        <is>
          <t>"1785677768184_KTML_trades_...csv", f"{UP}/*_{sym}_{tag}_{date}.csv"</t>
        </is>
      </c>
      <c r="E79" t="inlineStr">
        <is>
          <t>Utility / Support</t>
        </is>
      </c>
      <c r="F79" t="inlineStr">
        <is>
          <t>None</t>
        </is>
      </c>
    </row>
    <row r="80">
      <c r="A80" t="inlineStr">
        <is>
          <t>obi_depth_gate.py</t>
        </is>
      </c>
      <c r="B80">
        <f>=========================================================================== obi_depth_gate.py ----------------------------------------------------------------------------</f>
        <v/>
      </c>
      <c r="C80" t="inlineStr">
        <is>
          <t>from datetime import datetime, from multiprocessing import Pool, from pathlib import Path, import argparse, import matplotlib, import matplotlib.pyplot as plt, import numpy as np, import pandas as pd, import time</t>
        </is>
      </c>
      <c r="D80" t="inlineStr">
        <is>
          <t>"obi_depth_gate_pername.csv", "obi_depth_gate_pername_day.csv", "obi_depth_gate_summary.csv", to_csv</t>
        </is>
      </c>
      <c r="E80" t="inlineStr">
        <is>
          <t>Utility / Support</t>
        </is>
      </c>
      <c r="F80" t="inlineStr">
        <is>
          <t>None</t>
        </is>
      </c>
    </row>
    <row r="81">
      <c r="A81" t="inlineStr">
        <is>
          <t>ofi_obi_horserace.py</t>
        </is>
      </c>
      <c r="B81" t="inlineStr">
        <is>
          <t>ofi_obi_horserace.py -- DECISION GATE: does OFI (or an OBI/OFI blend) predict the next mid-move better than OBI alone? This is Step-2 research. It reads the feature store, builds a forward-return l...</t>
        </is>
      </c>
      <c r="C81" t="inlineStr">
        <is>
          <t>from pathlib import Path, import numpy as np, import pandas as pd</t>
        </is>
      </c>
      <c r="D81" t="inlineStr">
        <is>
          <t>"date=*.parquet", "date=*/*.parquet", "ofi_obi_horserace.csv", to_csv</t>
        </is>
      </c>
      <c r="E81" t="inlineStr">
        <is>
          <t>Sweep / Experiment</t>
        </is>
      </c>
      <c r="F81" t="inlineStr">
        <is>
          <t>WHY THIS EXISTS: the microprice lesson. A signal well-supported in the</t>
        </is>
      </c>
    </row>
    <row r="82">
      <c r="A82" t="inlineStr">
        <is>
          <t>ofi_windows_horserace.py</t>
        </is>
      </c>
      <c r="B82" t="inlineStr">
        <is>
          <t>ofi_windows_horserace.py -- the FAIR OFI race: trailing-WINDOWED OFI vs OBI. The original horserace raced SINGLE-EVENT OFI increments (a trailing window of exactly one book event) against OBI -- th...</t>
        </is>
      </c>
      <c r="C82" t="inlineStr">
        <is>
          <t>from pathlib import Path, import mm_harness as H, import numpy as np, import pandas as pd</t>
        </is>
      </c>
      <c r="D82" t="inlineStr">
        <is>
          <t>"date=*.parquet", "date=*/*.parquet", "ofi_windows_horserace.csv", to_csv</t>
        </is>
      </c>
      <c r="E82" t="inlineStr">
        <is>
          <t>Sweep / Experiment</t>
        </is>
      </c>
      <c r="F82" t="inlineStr">
        <is>
          <t>None</t>
        </is>
      </c>
    </row>
    <row r="83">
      <c r="A83" t="inlineStr">
        <is>
          <t>onesided_close_cost.py</t>
        </is>
      </c>
      <c r="B83" t="inlineStr">
        <is>
          <t>onesided_close_cost.py -- STEP 1, measured not inferred: how much do the one-sided-close days (mid_at_close is None) actually cost, per config? equity_mid_mark is None exactly when the closing book...</t>
        </is>
      </c>
      <c r="C83" t="inlineStr">
        <is>
          <t>from pathlib import Path, import numpy as np, import pandas as pd</t>
        </is>
      </c>
      <c r="D83" t="inlineStr">
        <is>
          <t>"eod_positions.csv"</t>
        </is>
      </c>
      <c r="E83" t="inlineStr">
        <is>
          <t>Utility / Support</t>
        </is>
      </c>
      <c r="F83" t="inlineStr">
        <is>
          <t>None</t>
        </is>
      </c>
    </row>
    <row r="84">
      <c r="A84" t="inlineStr">
        <is>
          <t>persist_fills.py</t>
        </is>
      </c>
      <c r="B84">
        <f>=========================================================================== persist_fills.py -- SYSTEM FILE (goes in existing_mm_live/, run repeatedly) ============================================...</f>
        <v/>
      </c>
      <c r="C84" t="inlineStr">
        <is>
          <t>from micro_mm import MicrostructureMM, from mm_backtest import Backtester, NaiveSymmetricMM, LatencyModel, from pathlib import Path, import numpy as np, import pandas as pd, import run_legacy_mm as R, import time</t>
        </is>
      </c>
      <c r="D84" t="inlineStr">
        <is>
          <t>f"date={date}.parquet", to_parquet</t>
        </is>
      </c>
      <c r="E84" t="inlineStr">
        <is>
          <t>Utility / Support</t>
        </is>
      </c>
      <c r="F84" t="inlineStr">
        <is>
          <t>RECONCILIATION GUARANTEES (why this matches your backtests exactly):</t>
        </is>
      </c>
    </row>
    <row r="85">
      <c r="A85" t="inlineStr">
        <is>
          <t>persist_fills_v2.py</t>
        </is>
      </c>
      <c r="B85">
        <f>=========================================================================== persist_fills_v2.py -- Stage 1 persistence of LIQUIDATION-INCLUSIVE fills. =============================================...</f>
        <v/>
      </c>
      <c r="C85" t="inlineStr">
        <is>
          <t>from micro_mm import MicrostructureMM, from mm_backtest import Backtester, NaiveSymmetricMM, LatencyModel, from pathlib import Path, import pandas as pd, import persist_fills as PF, import run_legacy_mm as R, import time</t>
        </is>
      </c>
      <c r="D85" t="inlineStr">
        <is>
          <t>f"date={date}.parquet", to_parquet</t>
        </is>
      </c>
      <c r="E85" t="inlineStr">
        <is>
          <t>Utility / Support</t>
        </is>
      </c>
      <c r="F85" t="inlineStr">
        <is>
          <t>None</t>
        </is>
      </c>
    </row>
    <row r="86">
      <c r="A86" t="inlineStr">
        <is>
          <t>persistence_metrics.py</t>
        </is>
      </c>
      <c r="B86" t="inlineStr">
        <is>
          <t>Stage 2 -- Persistence analysis over daily_stats_ALL.parquet. Turns 207 single-day snapshots into a watchlist. A single day is not rankable: KTML swung 236x in ceiling between two sessions, so anyt...</t>
        </is>
      </c>
      <c r="C86" t="inlineStr">
        <is>
          <t>import numpy as np, import os, import pandas as pd</t>
        </is>
      </c>
      <c r="D86" t="inlineStr">
        <is>
          <t>"daily_stats_ALL.parquet", "skips_ALL.parquet", f"persistence_{seg_name}_{fee}.csv", f"rank_autocorr_{seg_name}_{fee}.csv", to_csv</t>
        </is>
      </c>
      <c r="E86" t="inlineStr">
        <is>
          <t>Utility / Support</t>
        </is>
      </c>
      <c r="F86" t="inlineStr">
        <is>
          <t>None</t>
        </is>
      </c>
    </row>
    <row r="87">
      <c r="A87" t="inlineStr">
        <is>
          <t>plot_skew_validation.py</t>
        </is>
      </c>
      <c r="B87" t="inlineStr">
        <is>
          <t>plot_skew_validation.py Visual validation of the micro_mm.py inventory-skew fix. Figure 1: EOD signed-position distribution per symbol, one overlaid histogram</t>
        </is>
      </c>
      <c r="C87" t="inlineStr">
        <is>
          <t>import matplotlib, import matplotlib.pyplot as plt, import numpy as np, import pandas as pd, import sys</t>
        </is>
      </c>
      <c r="D87" t="inlineStr">
        <is>
          <t>f"{_res}/eod_positions.csv", f"{_res}/pnl_summary.csv"</t>
        </is>
      </c>
      <c r="E87" t="inlineStr">
        <is>
          <t>Utility / Support</t>
        </is>
      </c>
      <c r="F87" t="inlineStr">
        <is>
          <t>None</t>
        </is>
      </c>
    </row>
    <row r="88">
      <c r="A88" t="inlineStr">
        <is>
          <t>pnl_tearsheet.py</t>
        </is>
      </c>
      <c r="B88" t="inlineStr">
        <is>
          <t>pnl_tearsheet.py -- QuantStats tearsheets from the per-day P&amp;L CSV produced by daily_pnl_charts.py. Converts daily PKR P&amp;L into daily RETURNS on a per-symbol capital-at-risk base (max_inv x median ...</t>
        </is>
      </c>
      <c r="C88" t="inlineStr">
        <is>
          <t>from pathlib import Path, import numpy as np, import pandas as pd, import quantstats as qs, import run_legacy_mm as R</t>
        </is>
      </c>
      <c r="D88" t="inlineStr">
        <is>
          <t>"daily_pnl.csv", "date=*.parquet"</t>
        </is>
      </c>
      <c r="E88" t="inlineStr">
        <is>
          <t>Analytics / Attribution</t>
        </is>
      </c>
      <c r="F88" t="inlineStr">
        <is>
          <t>None</t>
        </is>
      </c>
    </row>
    <row r="89">
      <c r="A89" t="inlineStr">
        <is>
          <t>preflight_coverage.py</t>
        </is>
      </c>
      <c r="B89">
        <f>=========================================================================== preflight_coverage.py -- verify the 38 names have what the sweep needs BEFORE committing to the full run. Catches the si...</f>
        <v/>
      </c>
      <c r="C89" t="inlineStr">
        <is>
          <t>from pathlib import Path, import mm_harness as H, import run_legacy_mm as R</t>
        </is>
      </c>
      <c r="D89" t="inlineStr">
        <is>
          <t>f"date={d}.parquet"</t>
        </is>
      </c>
      <c r="E89" t="inlineStr">
        <is>
          <t>Utility / Support</t>
        </is>
      </c>
      <c r="F89" t="inlineStr">
        <is>
          <t>None</t>
        </is>
      </c>
    </row>
    <row r="90">
      <c r="A90" t="inlineStr">
        <is>
          <t>probe_futures_mm.py</t>
        </is>
      </c>
      <c r="B90" t="inlineStr">
        <is>
          <t>probe_futures_mm.py -- the mechanics the futures MM engine must get right, that may DIFFER from spot. Read-only. Answers, per the active-month futures: 1. tick size (spot is 0.01; futures may diffe...</t>
        </is>
      </c>
      <c r="C90" t="inlineStr">
        <is>
          <t>from pathlib import Path, import duckdb, pandas as pd, numpy as np</t>
        </is>
      </c>
      <c r="D90" t="inlineStr">
        <is>
          <t>f"{PARSED}/ob_updates/date=*/*.parquet", f"{PARSED}/trades/date=*/*.parquet"</t>
        </is>
      </c>
      <c r="E90" t="inlineStr">
        <is>
          <t>Futures Market Making</t>
        </is>
      </c>
      <c r="F90" t="inlineStr">
        <is>
          <t>None</t>
        </is>
      </c>
    </row>
    <row r="91">
      <c r="A91" t="inlineStr">
        <is>
          <t>run_all_tickers.py</t>
        </is>
      </c>
      <c r="B91" t="inlineStr">
        <is>
          <t>Per-symbol liquidity/spread screen across ALL tickers in one day's parquet. Goal: find symbols with WIDE spreads AND real liquidity — specifically volume that trades WHILE the spread is wide (co-in...</t>
        </is>
      </c>
      <c r="C91" t="inlineStr">
        <is>
          <t>from pathlib import Path, from ticker_stats_core import stats_for_symbol, ROUND_TRIP_BPS, WIDE_BPS, import pandas as pd, import pyarrow.dataset as ds</t>
        </is>
      </c>
      <c r="D91" t="inlineStr">
        <is>
          <t>f"ticker_stats_{DATE}.csv", f"{DATE}_ob_snapshot.parquet", f"{DATE}_trades.parquet", to_csv</t>
        </is>
      </c>
      <c r="E91" t="inlineStr">
        <is>
          <t>Runner / Harness</t>
        </is>
      </c>
      <c r="F91" t="inlineStr">
        <is>
          <t>None</t>
        </is>
      </c>
    </row>
    <row r="92">
      <c r="A92" t="inlineStr">
        <is>
          <t>run_daily_stats.py</t>
        </is>
      </c>
      <c r="B92" t="inlineStr">
        <is>
          <t>Stage 1 -- Multi-day screen. Compute ticker_stats_core.stats_for_symbol for EVERY symbol on EVERY date, land the result in a DuckDB table `daily_stats` inside a single hft.duckdb file, and merge th...</t>
        </is>
      </c>
      <c r="C92" t="inlineStr">
        <is>
          <t>from pathlib import Path, from ticker_stats_core import stats_for_symbol, FEE_RT_GRID, import argparse, import glob, import numpy as np, import os, import pandas as pd</t>
        </is>
      </c>
      <c r="D92" t="inlineStr">
        <is>
          <t>"*.parquet", "daily_stats_*.parquet", "daily_stats_ALL.csv", "daily_stats_ALL.parquet", f"daily_stats_{date}.parquet"</t>
        </is>
      </c>
      <c r="E92" t="inlineStr">
        <is>
          <t>Runner / Harness</t>
        </is>
      </c>
      <c r="F92" t="inlineStr">
        <is>
          <t>None</t>
        </is>
      </c>
    </row>
    <row r="93">
      <c r="A93" t="inlineStr">
        <is>
          <t>run_legacy_mm.py</t>
        </is>
      </c>
      <c r="B93" t="inlineStr">
        <is>
          <t>Batch-run the legacy single-name pure market maker (NaiveSymmetricMM) over the ENTIRE parsed store: every symbol, every date. The store is hive-partitioned parquet:</t>
        </is>
      </c>
      <c r="C93" t="inlineStr">
        <is>
          <t>from micro_mm import MicrostructureMM, from mm_backtest import Backtester, NaiveSymmetricMM, fee_for, FEE_TOTAL_PCT, LatencyModel, from pathlib import Path, import argparse, import ast, import glob, import numpy as np, import os, import pandas as pd, import pyarrow.dataset as ds, import sys, import traceback</t>
        </is>
      </c>
      <c r="D93" t="inlineStr">
        <is>
          <t>"mm_*.csv", "mm_ALL.csv", f"Smoke: {n} rows for {d}. Inspect mm_results/mm_{d}.csv", f"mm_{date}.csv", to_csv</t>
        </is>
      </c>
      <c r="E93" t="inlineStr">
        <is>
          <t>Runner / Harness</t>
        </is>
      </c>
      <c r="F93" t="inlineStr">
        <is>
          <t>None</t>
        </is>
      </c>
    </row>
    <row r="94">
      <c r="A94" t="inlineStr">
        <is>
          <t>run_mm_batch.py</t>
        </is>
      </c>
      <c r="B94" t="inlineStr">
        <is>
          <t>run_mm_batch.py -- run naive OR micro MM (whichever run_legacy_mm.USE_MICRO selects), over a ticker list x all dates, with TREC fees and seeded latency. Run as a FRESH process:  python run_mm_batch.py</t>
        </is>
      </c>
      <c r="C94" t="inlineStr">
        <is>
          <t>from collections import defaultdict, from datetime import datetime, from pathlib import Path, from run_legacy_mm import run_one, open_datasets, discover_dates, import mm_backtest, import pandas as pd, import run_legacy_mm, import time</t>
        </is>
      </c>
      <c r="D94" t="inlineStr">
        <is>
          <t>f"{STRATEGY_TAG}_two_{STAMP}.csv", to_csv</t>
        </is>
      </c>
      <c r="E94" t="inlineStr">
        <is>
          <t>Runner / Harness</t>
        </is>
      </c>
      <c r="F94" t="inlineStr">
        <is>
          <t>None</t>
        </is>
      </c>
    </row>
    <row r="95">
      <c r="A95" t="inlineStr">
        <is>
          <t>run_naive_two.py</t>
        </is>
      </c>
      <c r="B95" t="inlineStr">
        <is>
          <t>run_naive_two.py -- naive MM, TREC fees, over a small ticker list x all dates. Run as a FRESH process:  python run_naive_two.py (never from a stale Jupyter kernel -- the fee/import can be cached an...</t>
        </is>
      </c>
      <c r="C95" t="inlineStr">
        <is>
          <t>from collections import defaultdict, from datetime import datetime, from pathlib import Path, from run_legacy_mm import run_one, open_datasets, discover_dates, import mm_backtest, import pandas as pd, import time</t>
        </is>
      </c>
      <c r="D95" t="inlineStr">
        <is>
          <t>f"naive_two_{STAMP}.csv", to_csv</t>
        </is>
      </c>
      <c r="E95" t="inlineStr">
        <is>
          <t>Runner / Harness</t>
        </is>
      </c>
      <c r="F95" t="inlineStr">
        <is>
          <t>None</t>
        </is>
      </c>
    </row>
    <row r="96">
      <c r="A96" t="inlineStr">
        <is>
          <t>size_sweep.py</t>
        </is>
      </c>
      <c r="B96" t="inlineStr">
        <is>
          <t>size_sweep.py -- HOW BIG should a quote be, per symbol? Sweeps the clip size: * fixed50            : the 50-share control (reproduces the stored MID+BOTH runs) * 0.5x .. 2.0x MEDIAN TRADE SIZE, whe...</t>
        </is>
      </c>
      <c r="C96" t="inlineStr">
        <is>
          <t>from datetime import datetime, from micro_mm import MicrostructureMM, from mm_backtest import Backtester, LatencyModel, from pathlib import Path, import confirm_micro_vs_naive as C, import numpy as np, import pandas as pd, import run_legacy_mm as R, import time</t>
        </is>
      </c>
      <c r="D96" t="inlineStr">
        <is>
          <t>f"date={date}.parquet", f"size_sweep_daily_{stamp}.csv", to_csv</t>
        </is>
      </c>
      <c r="E96" t="inlineStr">
        <is>
          <t>Sweep / Experiment</t>
        </is>
      </c>
      <c r="F96" t="inlineStr">
        <is>
          <t>HONESTY NOTE (read before trusting large multiples): the engine models FIFO queue</t>
        </is>
      </c>
    </row>
    <row r="97">
      <c r="A97" t="inlineStr">
        <is>
          <t>skew_sweep_2d.py</t>
        </is>
      </c>
      <c r="B97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97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97" t="inlineStr">
        <is>
          <t>f"skew_sweep_2d_DAILY_{stamp}.csv", f"skew_sweep_2d_PERNAME_{stamp}.csv", f"skew_sweep_2d_{stamp}.csv", to_csv</t>
        </is>
      </c>
      <c r="E97" t="inlineStr">
        <is>
          <t>Sweep / Experiment</t>
        </is>
      </c>
      <c r="F97" t="inlineStr">
        <is>
          <t>THE HYPOTHESIS (stated so the data can refute it): median hold of 4-6 minutes</t>
        </is>
      </c>
    </row>
    <row r="98">
      <c r="A98" t="inlineStr">
        <is>
          <t>skew_sweep_2d_RUNB_ofi.py</t>
        </is>
      </c>
      <c r="B98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98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98" t="inlineStr">
        <is>
          <t>f"skew_sweep_2d_RUNB_DAILY_{stamp}.csv", f"skew_sweep_2d_RUNB_PERNAME_{stamp}.csv", f"skew_sweep_2d_RUNB_{stamp}.csv", to_csv</t>
        </is>
      </c>
      <c r="E98" t="inlineStr">
        <is>
          <t>Sweep / Experiment</t>
        </is>
      </c>
      <c r="F98" t="inlineStr">
        <is>
          <t>THE HYPOTHESIS (stated so the data can refute it): median hold of 4-6 minutes</t>
        </is>
      </c>
    </row>
    <row r="99">
      <c r="A99" t="inlineStr">
        <is>
          <t>smoke_recon.py</t>
        </is>
      </c>
      <c r="B99" t="inlineStr">
        <is>
          <t>smoke_recon.py -- FAST reconciliation check on the exact symbol-days that were broken (unclean-liquidation days), not a full-universe run. Confirms the FIFO residual fix reconciles attribution to t...</t>
        </is>
      </c>
      <c r="C99" t="inlineStr">
        <is>
          <t>import mm_harness as H, import numpy as np, import pandas as pd, import run_legacy_mm as R</t>
        </is>
      </c>
      <c r="D99" t="inlineStr">
        <is>
          <t>None</t>
        </is>
      </c>
      <c r="E99" t="inlineStr">
        <is>
          <t>Utility / Support</t>
        </is>
      </c>
      <c r="F99" t="inlineStr">
        <is>
          <t>None</t>
        </is>
      </c>
    </row>
    <row r="100">
      <c r="A100" t="inlineStr">
        <is>
          <t>snapshot_prep.py</t>
        </is>
      </c>
      <c r="B100" t="inlineStr">
        <is>
          <t>snapshot_prep.py -- pre-parse snapshot DataFrames into plain-Python structs ONCE at build time, so Book.snapshot() does ZERO pandas per call. This removes the 89%-of-runtime bottleneck (8,056 panda...</t>
        </is>
      </c>
      <c r="C100" t="inlineStr">
        <is>
          <t>from dataclasses import dataclass, field, from typing import Optional</t>
        </is>
      </c>
      <c r="D100" t="inlineStr">
        <is>
          <t>None</t>
        </is>
      </c>
      <c r="E100" t="inlineStr">
        <is>
          <t>Data Pipeline / Extractor</t>
        </is>
      </c>
      <c r="F100" t="inlineStr">
        <is>
          <t>None</t>
        </is>
      </c>
    </row>
    <row r="101">
      <c r="A101" t="inlineStr">
        <is>
          <t>soft_inv_sweep.py</t>
        </is>
      </c>
      <c r="B101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101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101" t="inlineStr">
        <is>
          <t>f"soft_inv_sweep_DAILY_{stamp}.csv", f"soft_inv_sweep_PERNAME_{stamp}.csv", f"soft_inv_sweep_{stamp}.csv", to_csv</t>
        </is>
      </c>
      <c r="E101" t="inlineStr">
        <is>
          <t>Sweep / Experiment</t>
        </is>
      </c>
      <c r="F101" t="inlineStr">
        <is>
          <t>THE HYPOTHESIS (stated so the data can refute it): median hold of 4-6 minutes</t>
        </is>
      </c>
    </row>
    <row r="102">
      <c r="A102" t="inlineStr">
        <is>
          <t>spot_capture_markout_decomp.py</t>
        </is>
      </c>
      <c r="B102" t="inlineStr">
        <is>
          <t>spot_capture_markout_decomp.py -- the honest per-bucket decomposition: capture, FIFO markout (to actual matched exit), fees, net-bps, med-hold, with markout further SPLIT into jump vs diffusion com...</t>
        </is>
      </c>
      <c r="C102" t="inlineStr">
        <is>
          <t>from datetime import datetime, from pathlib import Path, from scipy import stats, import mm_harness as H, import multiprocessing as mp, import numpy as np, import pandas as pd, import run_legacy_mm as R, import time</t>
        </is>
      </c>
      <c r="D102" t="inlineStr">
        <is>
          <t>f"markout_decomp_daily_{cm:g}x_{stamp}.csv", to_csv</t>
        </is>
      </c>
      <c r="E102" t="inlineStr">
        <is>
          <t>Analytics / Attribution</t>
        </is>
      </c>
      <c r="F102" t="inlineStr">
        <is>
          <t>WHY: analyze_bucket_attribution.py reports NET realized bps per bucket only.</t>
        </is>
      </c>
    </row>
    <row r="103">
      <c r="A103" t="inlineStr">
        <is>
          <t>spread_windows_plot.py</t>
        </is>
      </c>
      <c r="B103" t="inlineStr">
        <is>
          <t>spread_windows_plot.py -- time series of four spread measures for ONE symbol-day: 1. avg spread over the trailing TIME_WINDOW_S seconds   (true rolling time window) 2. avg spread over the trailing ...</t>
        </is>
      </c>
      <c r="C103" t="inlineStr">
        <is>
          <t>from collections import deque, from pathlib import Path, import matplotlib, import matplotlib.pyplot as plt, import numpy as np, import pandas as pd, import run_legacy_mm as R</t>
        </is>
      </c>
      <c r="D103" t="inlineStr">
        <is>
          <t>None</t>
        </is>
      </c>
      <c r="E103" t="inlineStr">
        <is>
          <t>Utility / Support</t>
        </is>
      </c>
      <c r="F103" t="inlineStr">
        <is>
          <t>None</t>
        </is>
      </c>
    </row>
    <row r="104">
      <c r="A104" t="inlineStr">
        <is>
          <t>sweep_bucket_size.py</t>
        </is>
      </c>
      <c r="B104" t="inlineStr">
        <is>
          <t>sweep_bucket_size.py -- JOB 1 of the volume-sizing experiment: can we extend profitability by quoting LARGER clips in the high-volume end-of-day buckets? The measured question (not assumed): if we ...</t>
        </is>
      </c>
      <c r="C104" t="inlineStr">
        <is>
          <t>from datetime import datetime, from micro_mm import MicrostructureMM, from mm_backtest import Backtester, LatencyModel, from pathlib import Path, import confirm_micro_vs_naive as C, import numpy as np, import pandas as pd, import run_legacy_mm as R, import time</t>
        </is>
      </c>
      <c r="D104" t="inlineStr">
        <is>
          <t>"session_scales_*.csv", "session_segments_*.csv", "time_windows_*.csv", "volume_profile_*.csv", f"bucket_size_daily_{stamp}.csv", f"bucket_size_summary_{stamp}.csv", f"date={date}.parquet", to_csv</t>
        </is>
      </c>
      <c r="E104" t="inlineStr">
        <is>
          <t>Sweep / Experiment</t>
        </is>
      </c>
      <c r="F104" t="inlineStr">
        <is>
          <t>None</t>
        </is>
      </c>
    </row>
    <row r="105">
      <c r="A105" t="inlineStr">
        <is>
          <t>sweep_capture.py</t>
        </is>
      </c>
      <c r="B105">
        <f>=========================================================================== sweep_capture.py -- 2D capture calibration for micro on REAL queue fills, full 207 days, per symbol. Sweeps min_edge_pct...</f>
        <v/>
      </c>
      <c r="C105" t="inlineStr">
        <is>
          <t>from micro_mm import MicrostructureMM, from mm_backtest import Backtester, LatencyModel, from pathlib import Path, import fill_attribution as FA, import numpy as np, import pandas as pd, import persist_fills as PF, import run_legacy_mm as R, import time</t>
        </is>
      </c>
      <c r="D105" t="inlineStr">
        <is>
          <t>"/Users/shazzak/Capital Stake - Results/capture_sweep.csv", "/Users/shazzak/Capital Stake - Results/capture_sweep_summary.csv", f"\nsaved: {out} and capture_sweep_summary.csv", f"date={date}.parquet", to_csv</t>
        </is>
      </c>
      <c r="E105" t="inlineStr">
        <is>
          <t>Sweep / Experiment</t>
        </is>
      </c>
      <c r="F105" t="inlineStr">
        <is>
          <t>None</t>
        </is>
      </c>
    </row>
    <row r="106">
      <c r="A106" t="inlineStr">
        <is>
          <t>sweep_depth_analysis.py</t>
        </is>
      </c>
      <c r="B106" t="inlineStr">
        <is>
          <t>sweep_depth_analysis.py -- how deep do aggressor orders cut into the book? QUESTION: is futures flow more aggressive/institutional than spot? A trade that sweeps many book levels is a large, aggres...</t>
        </is>
      </c>
      <c r="C106" t="inlineStr">
        <is>
          <t>from datetime import datetime, from pathlib import Path, import confirm_micro_vs_naive as C, import futures_mm_run as F, import matplotlib, import matplotlib.pyplot as plt, import numpy as np, import pandas as pd, import run_legacy_mm as R, import time</t>
        </is>
      </c>
      <c r="D106" t="inlineStr">
        <is>
          <t>f"sweepdepth_{stamp}.csv", to_csv</t>
        </is>
      </c>
      <c r="E106" t="inlineStr">
        <is>
          <t>Sweep / Experiment</t>
        </is>
      </c>
      <c r="F106" t="inlineStr">
        <is>
          <t>None</t>
        </is>
      </c>
    </row>
    <row r="107">
      <c r="A107" t="inlineStr">
        <is>
          <t>sweep_depth_fast_2day.py</t>
        </is>
      </c>
      <c r="B107" t="inlineStr">
        <is>
          <t>sweep_depth_analysis.py -- how deep do aggressor orders cut into the book? QUESTION: is futures flow more aggressive/institutional than spot? A trade that sweeps many book levels is a large, aggres...</t>
        </is>
      </c>
      <c r="C107" t="inlineStr">
        <is>
          <t>from datetime import datetime, from pathlib import Path, import confirm_micro_vs_naive as C, import futures_mm_run as F, import matplotlib, import matplotlib.pyplot as plt, import numpy as np, import pandas as pd, import run_legacy_mm as R, import time</t>
        </is>
      </c>
      <c r="D107" t="inlineStr">
        <is>
          <t>f"sweepFAST_{stamp}.csv", to_csv</t>
        </is>
      </c>
      <c r="E107" t="inlineStr">
        <is>
          <t>Sweep / Experiment</t>
        </is>
      </c>
      <c r="F107" t="inlineStr">
        <is>
          <t>None</t>
        </is>
      </c>
    </row>
    <row r="108">
      <c r="A108" t="inlineStr">
        <is>
          <t>sweep_micro.py</t>
        </is>
      </c>
      <c r="B108" t="inlineStr">
        <is>
          <t>sweep_micro.py -- find the right micro params on TWO verified single days (PPL + UBL, 2026-06-30) BEFORE committing to a 5-hour full run. Run as a FRESH process:  python sweep_micro.py</t>
        </is>
      </c>
      <c r="C108" t="inlineStr">
        <is>
          <t>from micro_mm import MicrostructureMM, from mm_backtest import Backtester, LatencyModel, import mm_backtest, import run_legacy_mm as R</t>
        </is>
      </c>
      <c r="D108" t="inlineStr">
        <is>
          <t>None</t>
        </is>
      </c>
      <c r="E108" t="inlineStr">
        <is>
          <t>Sweep / Experiment</t>
        </is>
      </c>
      <c r="F108" t="inlineStr">
        <is>
          <t>None</t>
        </is>
      </c>
    </row>
    <row r="109">
      <c r="A109" t="inlineStr">
        <is>
          <t>sweep_middle_capacity.py</t>
        </is>
      </c>
      <c r="B109" t="inlineStr">
        <is>
          <t>sweep_middle_capacity.py -- THE INVERSE of the failed close-sizing test. The bucket-sizing result showed: the CLOSE has high volume but TOXIC flow (last15 fills ~1.0 bps, eroded to negative when si...</t>
        </is>
      </c>
      <c r="C109" t="inlineStr">
        <is>
          <t>from datetime import datetime, from micro_mm import MicrostructureMM, from mm_backtest import Backtester, LatencyModel, from pathlib import Path, import confirm_micro_vs_naive as C, import numpy as np, import pandas as pd, import run_legacy_mm as R, import time</t>
        </is>
      </c>
      <c r="D109" t="inlineStr">
        <is>
          <t>"session_scales_*.csv", "session_segments_*.csv", "time_windows_*.csv", "volume_profile_*.csv", f"date={date}.parquet", f"middle_capacity_daily_{stamp}.csv", f"middle_capacity_summary_{stamp}.csv", to_csv</t>
        </is>
      </c>
      <c r="E109" t="inlineStr">
        <is>
          <t>Sweep / Experiment</t>
        </is>
      </c>
      <c r="F109" t="inlineStr">
        <is>
          <t>real edge (~4.7 bps/fill). SZ's hypothesis: size up in the MIDDLE (clean,</t>
        </is>
      </c>
    </row>
    <row r="110">
      <c r="A110" t="inlineStr">
        <is>
          <t>sweep_min_edge.py</t>
        </is>
      </c>
      <c r="B110">
        <f>=========================================================================== sweep_min_edge.py -- find the net-P&amp;L-maximizing min_edge_pct per symbol, on REAL queue fills across all 207 days (not s...</f>
        <v/>
      </c>
      <c r="C110" t="inlineStr">
        <is>
          <t>from micro_mm import MicrostructureMM, from mm_backtest import Backtester, LatencyModel, from pathlib import Path, import fill_attribution as FA, import numpy as np, import pandas as pd, import persist_fills as PF, import run_legacy_mm as R, import time</t>
        </is>
      </c>
      <c r="D110" t="inlineStr">
        <is>
          <t>"/Users/shazzak/Capital Stake - Results/min_edge_sweep.csv", f"date={date}.parquet", to_csv</t>
        </is>
      </c>
      <c r="E110" t="inlineStr">
        <is>
          <t>Sweep / Experiment</t>
        </is>
      </c>
      <c r="F110" t="inlineStr">
        <is>
          <t>WARNING: each grid point re-runs the backtest for both pilot symbols x 207</t>
        </is>
      </c>
    </row>
    <row r="111">
      <c r="A111" t="inlineStr">
        <is>
          <t>sweep_open_suppress.py</t>
        </is>
      </c>
      <c r="B111" t="inlineStr">
        <is>
          <t>sweep_open_suppress.py -- does SITTING OUT the volatile open pay? Thesis: the open impounds overnight news through a wide, chaotic spread. PSX jumps have no book precursor, but the OPEN is a schedu...</t>
        </is>
      </c>
      <c r="C111" t="inlineStr">
        <is>
          <t>from datetime import datetime, from micro_mm import MicrostructureMM, from mm_backtest import Backtester, LatencyModel, from pathlib import Path, import confirm_micro_vs_naive as C, import numpy as np, import pandas as pd, import run_legacy_mm as R, import time</t>
        </is>
      </c>
      <c r="D111" t="inlineStr">
        <is>
          <t>"session_scales_*.csv", "session_segments_*.csv", "time_windows_*.csv", "volume_profile_*.csv", f"date={date}.parquet", f"open_suppress_daily_{stamp}.csv", f"open_suppress_summary_{stamp}.csv", to_csv</t>
        </is>
      </c>
      <c r="E111" t="inlineStr">
        <is>
          <t>Sweep / Experiment</t>
        </is>
      </c>
      <c r="F111" t="inlineStr">
        <is>
          <t>None</t>
        </is>
      </c>
    </row>
    <row r="112">
      <c r="A112" t="inlineStr">
        <is>
          <t>sweep_reactive_gate.py</t>
        </is>
      </c>
      <c r="B112" t="inlineStr">
        <is>
          <t>sweep_reactive_gate.py -- DOES THE REACTIVE JUMP GATE ADD VALUE? PSX jumps have NO book precursor (validated), so we cannot predict them. This tests the REACTIVE alternative: after a large move ove...</t>
        </is>
      </c>
      <c r="C112" t="inlineStr">
        <is>
          <t>from datetime import datetime, from micro_mm import MicrostructureMM, from mm_backtest import Backtester, LatencyModel, from pathlib import Path, import confirm_micro_vs_naive as C, import numpy as np, import pandas as pd, import run_legacy_mm as R, import time</t>
        </is>
      </c>
      <c r="D112" t="inlineStr">
        <is>
          <t>"session_scales_*.csv", "session_segments_*.csv", "time_windows_*.csv", "volume_profile_*.csv", f"date={date}.parquet", f"reactive_gate_daily_{stamp}.csv", f"reactive_gate_summary_{stamp}.csv", to_csv</t>
        </is>
      </c>
      <c r="E112" t="inlineStr">
        <is>
          <t>Sweep / Experiment</t>
        </is>
      </c>
      <c r="F112" t="inlineStr">
        <is>
          <t>None</t>
        </is>
      </c>
    </row>
    <row r="113">
      <c r="A113" t="inlineStr">
        <is>
          <t>sweep_rejects_pov.py</t>
        </is>
      </c>
      <c r="B113" t="inlineStr">
        <is>
          <t>sweep_rejects_pov.py -- THE REJECT/BORDERLINE EXPERIMENT: does the NEW unwind (SZ's POV model) beat the OLD fixed-window unwind, per clip size? The hypothesis: at 1x the new model is dormant (recov...</t>
        </is>
      </c>
      <c r="C113" t="inlineStr">
        <is>
          <t>from datetime import datetime, from micro_mm import MicrostructureMM, from mm_backtest import Backtester, LatencyModel, from pathlib import Path, import confirm_micro_vs_naive as C, import numpy as np, import pandas as pd, import run_legacy_mm as R, import time</t>
        </is>
      </c>
      <c r="D113" t="inlineStr">
        <is>
          <t>"session_scales_*.csv", "session_segments_*.csv", "time_windows_*.csv", "volume_profile_*.csv", f"date={date}.parquet", f"sweep_rejects_daily_{stamp}.csv", f"sweep_rejects_summary_{stamp}.csv", to_csv</t>
        </is>
      </c>
      <c r="E113" t="inlineStr">
        <is>
          <t>Sweep / Experiment</t>
        </is>
      </c>
      <c r="F113" t="inlineStr">
        <is>
          <t>the OLD fixed-window unwind, per clip size? The hypothesis: at 1x the new model</t>
        </is>
      </c>
    </row>
    <row r="114">
      <c r="A114" t="inlineStr">
        <is>
          <t>sweep_risk_score.py</t>
        </is>
      </c>
      <c r="B114">
        <f>=========================================================================== sweep_risk_score.py -- STANDING risk scorer for any sweep's per-name-day CSV. Always reports, per config: net PKR, mean ...</f>
        <v/>
      </c>
      <c r="C114" t="inlineStr">
        <is>
          <t>import numpy as np, pandas as pd, import sys, argparse</t>
        </is>
      </c>
      <c r="D114" t="inlineStr">
        <is>
          <t>None</t>
        </is>
      </c>
      <c r="E114" t="inlineStr">
        <is>
          <t>Sweep / Experiment</t>
        </is>
      </c>
      <c r="F114" t="inlineStr">
        <is>
          <t>None</t>
        </is>
      </c>
    </row>
    <row r="115">
      <c r="A115" t="inlineStr">
        <is>
          <t>sweep_top10_pov.py</t>
        </is>
      </c>
      <c r="B115" t="inlineStr">
        <is>
          <t>sweep_top10_pov.py -- THE EXPERIMENT: does the NEW unwind (SZ's POV model) beat the OLD fixed-window unwind, per clip size? The hypothesis: at 1x the new model is dormant (recovers the ~4% quoting ...</t>
        </is>
      </c>
      <c r="C115" t="inlineStr">
        <is>
          <t>from datetime import datetime, from micro_mm import MicrostructureMM, from mm_backtest import Backtester, LatencyModel, from pathlib import Path, import confirm_micro_vs_naive as C, import numpy as np, import pandas as pd, import run_legacy_mm as R, import time</t>
        </is>
      </c>
      <c r="D115" t="inlineStr">
        <is>
          <t>"session_scales_*.csv", "session_segments_*.csv", "time_windows_*.csv", "volume_profile_*.csv", f"date={date}.parquet", f"sweep_pov_daily_{stamp}.csv", f"sweep_pov_summary_{stamp}.csv", to_csv</t>
        </is>
      </c>
      <c r="E115" t="inlineStr">
        <is>
          <t>Sweep / Experiment</t>
        </is>
      </c>
      <c r="F115" t="inlineStr">
        <is>
          <t>sweep_top10_pov.py -- THE EXPERIMENT: does the NEW unwind (SZ's POV model) beat | the OLD fixed-window unwind, per clip size? The hypothesis: at 1x the new model</t>
        </is>
      </c>
    </row>
    <row r="116">
      <c r="A116" t="inlineStr">
        <is>
          <t>test_deep_ofi.py</t>
        </is>
      </c>
      <c r="B116" t="inlineStr">
        <is>
          <t>Focused sign-off tests for the experimental multi-level OFI path.""" from micro_mm import MicrostructureMM from mm_backtest import Book, Order</t>
        </is>
      </c>
      <c r="C116" t="inlineStr">
        <is>
          <t>from micro_mm import MicrostructureMM, from mm_backtest import Book, Order</t>
        </is>
      </c>
      <c r="D116" t="inlineStr">
        <is>
          <t>None</t>
        </is>
      </c>
      <c r="E116" t="inlineStr">
        <is>
          <t>Diagnostic / Analysis</t>
        </is>
      </c>
      <c r="F116" t="inlineStr">
        <is>
          <t>"""Focused sign-off tests for the experimental multi-level OFI path."""</t>
        </is>
      </c>
    </row>
    <row r="117">
      <c r="A117" t="inlineStr">
        <is>
          <t>test_liq_fills.py</t>
        </is>
      </c>
      <c r="B117">
        <f>=========================================================================== test_liq_fills.py -- Stage 1 verification of the liquidation-fill engine change. =======================================...</f>
        <v/>
      </c>
      <c r="C117" t="inlineStr">
        <is>
          <t>from mm_backtest import fee_for, import importlib, import numpy as np, import pandas as pd, import sys</t>
        </is>
      </c>
      <c r="D117" t="inlineStr">
        <is>
          <t>None</t>
        </is>
      </c>
      <c r="E117" t="inlineStr">
        <is>
          <t>Diagnostic / Analysis</t>
        </is>
      </c>
      <c r="F117" t="inlineStr">
        <is>
          <t>None</t>
        </is>
      </c>
    </row>
    <row r="118">
      <c r="A118" t="inlineStr">
        <is>
          <t>test_ofi_defensive.py</t>
        </is>
      </c>
      <c r="B118">
        <f>=========================================================================== test_ofi_defensive.py -- Stage 3 sign-off tests for OFI-defensive quoting. =============================================...</f>
        <v/>
      </c>
      <c r="C118" t="inlineStr">
        <is>
          <t>from micro_mm import MicrostructureMM</t>
        </is>
      </c>
      <c r="D118" t="inlineStr">
        <is>
          <t>None</t>
        </is>
      </c>
      <c r="E118" t="inlineStr">
        <is>
          <t>Diagnostic / Analysis</t>
        </is>
      </c>
      <c r="F118" t="inlineStr">
        <is>
          <t>None</t>
        </is>
      </c>
    </row>
    <row r="119">
      <c r="A119" t="inlineStr">
        <is>
          <t>throttle_fh_sweep.py</t>
        </is>
      </c>
      <c r="B119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119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119" t="inlineStr">
        <is>
          <t>f"throttle_fh_sweep_DAILY_{stamp}.csv", f"throttle_fh_sweep_PERNAME_{stamp}.csv", f"throttle_fh_sweep_{stamp}.csv", to_csv</t>
        </is>
      </c>
      <c r="E119" t="inlineStr">
        <is>
          <t>Sweep / Experiment</t>
        </is>
      </c>
      <c r="F119" t="inlineStr">
        <is>
          <t>THE HYPOTHESIS (stated so the data can refute it): median hold of 4-6 minutes</t>
        </is>
      </c>
    </row>
    <row r="120">
      <c r="A120" t="inlineStr">
        <is>
          <t>throttle_fh_sweep_full.py</t>
        </is>
      </c>
      <c r="B120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120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120" t="inlineStr">
        <is>
          <t>f"throttle_fh_full_DAILY_{stamp}.csv", f"throttle_fh_full_PERNAME_{stamp}.csv", f"throttle_fh_full_{stamp}.csv", to_csv</t>
        </is>
      </c>
      <c r="E120" t="inlineStr">
        <is>
          <t>Sweep / Experiment</t>
        </is>
      </c>
      <c r="F120" t="inlineStr">
        <is>
          <t>THE HYPOTHESIS (stated so the data can refute it): median hold of 4-6 minutes</t>
        </is>
      </c>
    </row>
    <row r="121">
      <c r="A121" t="inlineStr">
        <is>
          <t>throttle_markout_diagnostic.py</t>
        </is>
      </c>
      <c r="B121">
        <f>=========================================================================== throttle_markout_diagnostic.py ----------------------------------------------------------------------------</f>
        <v/>
      </c>
      <c r="C121" t="inlineStr">
        <is>
          <t>from datetime import datetime, from pathlib import Path, import argparse, import matplotlib, import matplotlib.pyplot as plt, import numpy as np, import pandas as pd, import sys</t>
        </is>
      </c>
      <c r="D121" t="inlineStr">
        <is>
          <t>"date=*.parquet", f"throttle_diag_{signal}_daily_{stamp}.csv", f"throttle_diag_{signal}_pername_{stamp}.csv", to_csv</t>
        </is>
      </c>
      <c r="E121" t="inlineStr">
        <is>
          <t>Analytics / Attribution</t>
        </is>
      </c>
      <c r="F121" t="inlineStr">
        <is>
          <t>WHY THIS IS THE RIGHT GATE, NOT A LIVE BUILD:</t>
        </is>
      </c>
    </row>
    <row r="122">
      <c r="A122" t="inlineStr">
        <is>
          <t>throttle_param_sweep.py</t>
        </is>
      </c>
      <c r="B122">
        <f>=========================================================================== throttle_param_sweep.py ----------------------------------------------------------------------------</f>
        <v/>
      </c>
      <c r="C122" t="inlineStr">
        <is>
          <t>from multiprocessing import Pool, from pathlib import Path, import argparse, import json, import os, import pandas as pd, import run_legacy_mm as R, import time</t>
        </is>
      </c>
      <c r="D122" t="inlineStr">
        <is>
          <t>"throttle_param_sweep_PERNAME.csv", to_csv</t>
        </is>
      </c>
      <c r="E122" t="inlineStr">
        <is>
          <t>Sweep / Experiment</t>
        </is>
      </c>
      <c r="F122" t="inlineStr">
        <is>
          <t>COMPUTE NOTE: this runs the SAME per-symbol-day work as a Run-A cell, so a</t>
        </is>
      </c>
    </row>
    <row r="123">
      <c r="A123" t="inlineStr">
        <is>
          <t>throttle_pov_sweep.py</t>
        </is>
      </c>
      <c r="B123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123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123" t="inlineStr">
        <is>
          <t>f"throttle_pov_sweep_DAILY_{stamp}.csv", f"throttle_pov_sweep_PERNAME_{stamp}.csv", f"throttle_pov_sweep_{stamp}.csv", to_csv</t>
        </is>
      </c>
      <c r="E123" t="inlineStr">
        <is>
          <t>Sweep / Experiment</t>
        </is>
      </c>
      <c r="F123" t="inlineStr">
        <is>
          <t>THE HYPOTHESIS (stated so the data can refute it): median hold of 4-6 minutes</t>
        </is>
      </c>
    </row>
    <row r="124">
      <c r="A124" t="inlineStr">
        <is>
          <t>throttle_qdr_sweep.py</t>
        </is>
      </c>
      <c r="B124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124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124" t="inlineStr">
        <is>
          <t>f"throttle_qdr_sweep_DAILY_{stamp}.csv", f"throttle_qdr_sweep_PERNAME_{stamp}.csv", f"throttle_qdr_sweep_{stamp}.csv", to_csv</t>
        </is>
      </c>
      <c r="E124" t="inlineStr">
        <is>
          <t>Sweep / Experiment</t>
        </is>
      </c>
      <c r="F124" t="inlineStr">
        <is>
          <t>THE HYPOTHESIS (stated so the data can refute it): median hold of 4-6 minutes</t>
        </is>
      </c>
    </row>
    <row r="125">
      <c r="A125" t="inlineStr">
        <is>
          <t>throttle_sweep.py</t>
        </is>
      </c>
      <c r="B125" t="inlineStr">
        <is>
          <t>skew_sweep_2d.py -- 2D sweep of inventory-exit aggressiveness x OBI-defensive skew, to test whether shortening hold time (the confirmed driver of diffusive markout) and avoiding adverse-imbalance f...</t>
        </is>
      </c>
      <c r="C125" t="inlineStr">
        <is>
          <t>from datetime import datetime, from pathlib import Path, from scipy import stats, from spot_capture_markout_decomp import _mid_at, _split_move, import json, import mm_harness as H, import multiprocessing as mp, import numpy as np, import os, import pandas as pd, import run_legacy_mm as R, import time</t>
        </is>
      </c>
      <c r="D125" t="inlineStr">
        <is>
          <t>f"throttle_sweep_DAILY_{stamp}.csv", f"throttle_sweep_PERNAME_{stamp}.csv", f"throttle_sweep_{stamp}.csv", to_csv</t>
        </is>
      </c>
      <c r="E125" t="inlineStr">
        <is>
          <t>Sweep / Experiment</t>
        </is>
      </c>
      <c r="F125" t="inlineStr">
        <is>
          <t>THE HYPOTHESIS (stated so the data can refute it): median hold of 4-6 minutes</t>
        </is>
      </c>
    </row>
    <row r="126">
      <c r="A126" t="inlineStr">
        <is>
          <t>throttle_sweep_analysis.py</t>
        </is>
      </c>
      <c r="B126">
        <f>=========================================================================== throttle_sweep_analysis.py ----------------------------------------------------------------------------</f>
        <v/>
      </c>
      <c r="C126" t="inlineStr">
        <is>
          <t>from pathlib import Path, import argparse, import matplotlib, import matplotlib.pyplot as plt, import numpy as np, import pandas as pd</t>
        </is>
      </c>
      <c r="D126" t="inlineStr">
        <is>
          <t>None</t>
        </is>
      </c>
      <c r="E126" t="inlineStr">
        <is>
          <t>Sweep / Experiment</t>
        </is>
      </c>
      <c r="F126" t="inlineStr">
        <is>
          <t>LOUD warning, because pooling PKR across names is dominated by the big names</t>
        </is>
      </c>
    </row>
    <row r="127">
      <c r="A127" t="inlineStr">
        <is>
          <t>throttle_sweep_recover.py</t>
        </is>
      </c>
      <c r="B127">
        <f>=========================================================================== throttle_sweep_recover.py -- rebuild a PERNAME CSV from a checkpoint journal if a run DIED before its final write (OOM, ...</f>
        <v/>
      </c>
      <c r="C127" t="inlineStr">
        <is>
          <t>from datetime import datetime, from pathlib import Path, import json, import pandas as pd, import sys</t>
        </is>
      </c>
      <c r="D127" t="inlineStr">
        <is>
          <t>f"{tag}_PERNAME_RECOVERED_{stamp}.csv", to_csv</t>
        </is>
      </c>
      <c r="E127" t="inlineStr">
        <is>
          <t>Sweep / Experiment</t>
        </is>
      </c>
      <c r="F127" t="inlineStr">
        <is>
          <t>None</t>
        </is>
      </c>
    </row>
    <row r="128">
      <c r="A128" t="inlineStr">
        <is>
          <t>ticker_stats_core.py</t>
        </is>
      </c>
      <c r="B128" t="inlineStr">
        <is>
          <t>Core per-symbol statistics. Validated on sample CSVs, reused by the parquet script.""" Numerical library: medians, diffs, searchsorted for the as-of join. import numpy as np</t>
        </is>
      </c>
      <c r="C128" t="inlineStr">
        <is>
          <t>import numpy as np, import pandas as pd</t>
        </is>
      </c>
      <c r="D128" t="inlineStr">
        <is>
          <t>None</t>
        </is>
      </c>
      <c r="E128" t="inlineStr">
        <is>
          <t>Configuration / Core Scaffolding</t>
        </is>
      </c>
      <c r="F128" t="inlineStr">
        <is>
          <t>None</t>
        </is>
      </c>
    </row>
    <row r="129">
      <c r="A129" t="inlineStr">
        <is>
          <t>trace_exit_fills.py</t>
        </is>
      </c>
      <c r="B129" t="inlineStr">
        <is>
          <t>trace_exit_fills.py -- the smallest possible check: does exit_ticks_inside=1 make our EXIT fills happen at self-harming prices, or is the P&amp;L collapse an accounting artifact? Reads the engine's OWN...</t>
        </is>
      </c>
      <c r="C129" t="inlineStr">
        <is>
          <t>from pathlib import Path, import mm_harness as H, import numpy as np, import pandas as pd, import run_legacy_mm as R</t>
        </is>
      </c>
      <c r="D129" t="inlineStr">
        <is>
          <t>None</t>
        </is>
      </c>
      <c r="E129" t="inlineStr">
        <is>
          <t>Utility / Support</t>
        </is>
      </c>
      <c r="F129" t="inlineStr">
        <is>
          <t>None</t>
        </is>
      </c>
    </row>
    <row r="130">
      <c r="A130" t="inlineStr">
        <is>
          <t>trades_by_phase.py</t>
        </is>
      </c>
      <c r="B130" t="inlineStr">
        <is>
          <t>trades_by_phase.py -- is AFTER_HOUR_TRADING a real exit venue or just quote churn? Decides how the corrected EOD flatten should mark: if after-hours has genuine fixed-price executions, the realisti...</t>
        </is>
      </c>
      <c r="C130" t="inlineStr">
        <is>
          <t>from pathlib import Path, import numpy as np, import pandas as pd, import run_legacy_mm as R, import time</t>
        </is>
      </c>
      <c r="D130" t="inlineStr">
        <is>
          <t>None</t>
        </is>
      </c>
      <c r="E130" t="inlineStr">
        <is>
          <t>Utility / Support</t>
        </is>
      </c>
      <c r="F130" t="inlineStr">
        <is>
          <t>None</t>
        </is>
      </c>
    </row>
    <row r="131">
      <c r="A131" t="inlineStr">
        <is>
          <t>universe_run.py</t>
        </is>
      </c>
      <c r="B131" t="inlineStr">
        <is>
          <t>universe_run.py -- the universe screen: does MID (microprice off + both triggers) make markets on each of the 38 shortlist names, and how big is the per-fill edge? Runs TWO configs per name -- naiv...</t>
        </is>
      </c>
      <c r="C131" t="inlineStr">
        <is>
          <t>from datetime import datetime, from micro_mm import MicrostructureMM, from mm_backtest import Backtester, LatencyModel, NaiveSymmetricMM, from pathlib import Path, import confirm_micro_vs_naive as C, import numpy as np, import pandas as pd, import run_legacy_mm as R, import time</t>
        </is>
      </c>
      <c r="D131" t="inlineStr">
        <is>
          <t>"/Users/shazzak/Capital Stake - Results/mm_watchlist_final.csv", "session_scales_*.csv", "time_windows_*.csv", f"date={date}.parquet", f"universe_daily_{stamp}.csv", f"universe_ranked_{stamp}.csv", to_csv</t>
        </is>
      </c>
      <c r="E131" t="inlineStr">
        <is>
          <t>Runner / Harness</t>
        </is>
      </c>
      <c r="F131" t="inlineStr">
        <is>
          <t>None</t>
        </is>
      </c>
    </row>
    <row r="132">
      <c r="A132" t="inlineStr">
        <is>
          <t>verify_snapshot_equivalence.py</t>
        </is>
      </c>
      <c r="B132" t="inlineStr">
        <is>
          <t>verify_snapshot_equivalence.py -- prove the pandas-&gt;native snapshot() refactor gives IDENTICAL fills to the old code. Compares NEW-code backtests against the fills persisted by persist_fills.py (OL...</t>
        </is>
      </c>
      <c r="C132" t="inlineStr">
        <is>
          <t>from micro_mm import MicrostructureMM, from mm_backtest import Backtester, LatencyModel, NaiveSymmetricMM, from pathlib import Path, import numpy as np, import pandas as pd, import run_legacy_mm as R</t>
        </is>
      </c>
      <c r="D132" t="inlineStr">
        <is>
          <t>f"date={date}.parquet"</t>
        </is>
      </c>
      <c r="E132" t="inlineStr">
        <is>
          <t>Diagnostic / Analysis</t>
        </is>
      </c>
      <c r="F132" t="inlineStr">
        <is>
          <t>None</t>
        </is>
      </c>
    </row>
    <row r="133">
      <c r="A133" t="inlineStr">
        <is>
          <t>verify_snapshot_fix.py</t>
        </is>
      </c>
      <c r="B133" t="inlineStr">
        <is>
          <t>verify_snapshot_fix.py -- confirm the snapshot optimization preserves fills. Run from existing_mm_live/:  python verify_snapshot_fix.py WANT: 480 fills (unchanged) and a much lower time / higher ev...</t>
        </is>
      </c>
      <c r="C133" t="inlineStr">
        <is>
          <t>from micro_mm import MicrostructureMM, from mm_backtest import Backtester, LatencyModel, from pathlib import Path, import pandas as pd, import run_legacy_mm as R, import time</t>
        </is>
      </c>
      <c r="D133" t="inlineStr">
        <is>
          <t>None</t>
        </is>
      </c>
      <c r="E133" t="inlineStr">
        <is>
          <t>Diagnostic / Analysis</t>
        </is>
      </c>
      <c r="F13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2026-09-04T04:37:45Z</dcterms:created>
  <dcterms:modified xsi:type="dcterms:W3CDTF">2026-09-04T04:37:45Z</dcterms:modified>
</cp:coreProperties>
</file>